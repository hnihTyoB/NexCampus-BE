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odeJS\NexCampus\NexCampus-BE\templates\"/>
    </mc:Choice>
  </mc:AlternateContent>
  <xr:revisionPtr revIDLastSave="0" documentId="13_ncr:1_{92E92B2E-13FD-4336-BF95-D3BC8817EEA1}" xr6:coauthVersionLast="47" xr6:coauthVersionMax="47" xr10:uidLastSave="{00000000-0000-0000-0000-000000000000}"/>
  <bookViews>
    <workbookView xWindow="28680" yWindow="330" windowWidth="29040" windowHeight="15990" activeTab="1" xr2:uid="{00000000-000D-0000-FFFF-FFFF00000000}"/>
  </bookViews>
  <sheets>
    <sheet name="Dashboard" sheetId="1" r:id="rId1"/>
    <sheet name="Task_Phan_Cong" sheetId="2" r:id="rId2"/>
    <sheet name="Roadmap" sheetId="3" r:id="rId3"/>
    <sheet name="Theo_BE" sheetId="4" r:id="rId4"/>
    <sheet name="Lis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B17" i="1"/>
  <c r="C16" i="1"/>
  <c r="B16" i="1"/>
  <c r="C15" i="1"/>
  <c r="B15" i="1"/>
  <c r="B11" i="1"/>
  <c r="B10" i="1"/>
  <c r="F9" i="1"/>
  <c r="B9" i="1"/>
  <c r="F8" i="1"/>
  <c r="B8" i="1"/>
  <c r="F7" i="1"/>
  <c r="B7" i="1"/>
  <c r="F6" i="1"/>
  <c r="B6" i="1"/>
  <c r="F5" i="1"/>
  <c r="B5" i="1"/>
</calcChain>
</file>

<file path=xl/sharedStrings.xml><?xml version="1.0" encoding="utf-8"?>
<sst xmlns="http://schemas.openxmlformats.org/spreadsheetml/2006/main" count="608" uniqueCount="308">
  <si>
    <t>KẾ HOẠCH PHÂN CÔNG TASK - DỰ ÁN CRAWL DATA</t>
  </si>
  <si>
    <t>Team: 3 BE thực tập | Stack: Express + TypeScript + pnpm + PostgreSQL + Prisma Migrate + Firecrawl</t>
  </si>
  <si>
    <t>Chỉ số</t>
  </si>
  <si>
    <t>Giá trị</t>
  </si>
  <si>
    <t>Ghi chú</t>
  </si>
  <si>
    <t>Status</t>
  </si>
  <si>
    <t>Số task</t>
  </si>
  <si>
    <t>Tổng task</t>
  </si>
  <si>
    <t>To Do</t>
  </si>
  <si>
    <t>BE 1</t>
  </si>
  <si>
    <t>API/Auth/DB</t>
  </si>
  <si>
    <t>In Progress</t>
  </si>
  <si>
    <t>BE 2</t>
  </si>
  <si>
    <t>Crawler/Worker/Firecrawl</t>
  </si>
  <si>
    <t>Review</t>
  </si>
  <si>
    <t>BE 3</t>
  </si>
  <si>
    <t>Export/Download/Docs/QA</t>
  </si>
  <si>
    <t>Done</t>
  </si>
  <si>
    <t>P0</t>
  </si>
  <si>
    <t>Bắt buộc MVP</t>
  </si>
  <si>
    <t>Blocked</t>
  </si>
  <si>
    <t>P1</t>
  </si>
  <si>
    <t>Nên có</t>
  </si>
  <si>
    <t>P2</t>
  </si>
  <si>
    <t>Nâng cấp</t>
  </si>
  <si>
    <t>Owner</t>
  </si>
  <si>
    <t>Tổng ngày est</t>
  </si>
  <si>
    <t>Task ID</t>
  </si>
  <si>
    <t>Giai đoạn</t>
  </si>
  <si>
    <t>Module</t>
  </si>
  <si>
    <t>Task</t>
  </si>
  <si>
    <t>Mô tả</t>
  </si>
  <si>
    <t>Support</t>
  </si>
  <si>
    <t>Priority</t>
  </si>
  <si>
    <t>Start</t>
  </si>
  <si>
    <t>Due</t>
  </si>
  <si>
    <t>Est Days</t>
  </si>
  <si>
    <t>Dependency</t>
  </si>
  <si>
    <t>Acceptance Criteria</t>
  </si>
  <si>
    <t>Notes</t>
  </si>
  <si>
    <t>BE1-01</t>
  </si>
  <si>
    <t>Phase 1 - Foundation</t>
  </si>
  <si>
    <t>Project Setup</t>
  </si>
  <si>
    <t>Khởi tạo source Express + TypeScript + pnpm</t>
  </si>
  <si>
    <t>Tạo cấu trúc source, tsconfig, eslint/prettier, env example.</t>
  </si>
  <si>
    <t>Source chạy được pnpm dev/build</t>
  </si>
  <si>
    <t>BE1-02</t>
  </si>
  <si>
    <t>Database</t>
  </si>
  <si>
    <t>Cấu hình PostgreSQL + Prisma</t>
  </si>
  <si>
    <t>Tạo Prisma client, DATABASE_URL, kết nối PostgreSQL.</t>
  </si>
  <si>
    <t>Kết nối DB thành công</t>
  </si>
  <si>
    <t>BE1-03</t>
  </si>
  <si>
    <t>Thiết kế schema.prisma bản init</t>
  </si>
  <si>
    <t>Tạo User, CrawlJob, CrawlPage, CrawlAsset, CrawlExport và enum.</t>
  </si>
  <si>
    <t>Có schema chuẩn code first</t>
  </si>
  <si>
    <t>BE1-04</t>
  </si>
  <si>
    <t>Migration</t>
  </si>
  <si>
    <t>Tạo migration init</t>
  </si>
  <si>
    <t>Chạy Prisma Migrate và commit thư mục migrations.</t>
  </si>
  <si>
    <t>DB có đủ bảng từ migration</t>
  </si>
  <si>
    <t>BE1-05</t>
  </si>
  <si>
    <t>Seed</t>
  </si>
  <si>
    <t>Seed admin mặc định</t>
  </si>
  <si>
    <t>Tạo prisma/seed.ts và script pnpm db:seed.</t>
  </si>
  <si>
    <t>Login admin test được</t>
  </si>
  <si>
    <t>BE1-06</t>
  </si>
  <si>
    <t>Base API</t>
  </si>
  <si>
    <t>Base route/error response/middleware</t>
  </si>
  <si>
    <t>Chuẩn hóa response, error handler, not found handler.</t>
  </si>
  <si>
    <t>API trả response thống nhất</t>
  </si>
  <si>
    <t>BE2-01</t>
  </si>
  <si>
    <t>Queue</t>
  </si>
  <si>
    <t>Cấu hình BullMQ + Redis</t>
  </si>
  <si>
    <t>Tạo crawl.queue.ts, kết nối Redis, test add job.</t>
  </si>
  <si>
    <t>Queue add/process job thử được</t>
  </si>
  <si>
    <t>BE2-02</t>
  </si>
  <si>
    <t>Firecrawl</t>
  </si>
  <si>
    <t>Tạo Firecrawl client</t>
  </si>
  <si>
    <t>Tạo module config, client, service gọi scrape/crawl.</t>
  </si>
  <si>
    <t>Gọi thử Firecrawl thành công</t>
  </si>
  <si>
    <t>BE2-03</t>
  </si>
  <si>
    <t>Validation</t>
  </si>
  <si>
    <t>Validate URL &amp; chặn private IP</t>
  </si>
  <si>
    <t>Chặn localhost, 127.0.0.1, 10.x, 172.16-31, 192.168, file/ftp.</t>
  </si>
  <si>
    <t>URL helper có unit test cơ bản</t>
  </si>
  <si>
    <t>BE3-01</t>
  </si>
  <si>
    <t>Storage</t>
  </si>
  <si>
    <t>Cấu hình local storage</t>
  </si>
  <si>
    <t>Tạo thư mục storage/exports, helper tạo path theo job.</t>
  </si>
  <si>
    <t>Lưu file local theo jobId</t>
  </si>
  <si>
    <t>BE3-02</t>
  </si>
  <si>
    <t>Export Base</t>
  </si>
  <si>
    <t>Tạo export service base</t>
  </si>
  <si>
    <t>Interface export, chuẩn tên file, mime type, file size.</t>
  </si>
  <si>
    <t>Service base dùng lại được</t>
  </si>
  <si>
    <t>BE3-03</t>
  </si>
  <si>
    <t>Docs</t>
  </si>
  <si>
    <t>Swagger/Postman collection nền</t>
  </si>
  <si>
    <t>Thiết lập docs API hoặc Postman collection ban đầu.</t>
  </si>
  <si>
    <t>Có collection test API</t>
  </si>
  <si>
    <t>BE1-07</t>
  </si>
  <si>
    <t>Phase 2 - API Core</t>
  </si>
  <si>
    <t>Auth</t>
  </si>
  <si>
    <t>API login/me</t>
  </si>
  <si>
    <t>JWT login, get profile, middleware auth.</t>
  </si>
  <si>
    <t>POST /auth/login, GET /auth/me chạy được</t>
  </si>
  <si>
    <t>BE1-08</t>
  </si>
  <si>
    <t>RBAC</t>
  </si>
  <si>
    <t>Middleware phân quyền</t>
  </si>
  <si>
    <t>Role ADMIN/CRAWLER_USER/VIEWER.</t>
  </si>
  <si>
    <t>Route bảo vệ theo role</t>
  </si>
  <si>
    <t>BE1-09</t>
  </si>
  <si>
    <t>Crawl Job API</t>
  </si>
  <si>
    <t>API tạo crawl job</t>
  </si>
  <si>
    <t>POST /crawl-jobs tạo job PENDING và push queue.</t>
  </si>
  <si>
    <t>Tạo job và worker nhận được</t>
  </si>
  <si>
    <t>BE1-10</t>
  </si>
  <si>
    <t>API danh sách/chi tiết job</t>
  </si>
  <si>
    <t>GET list/detail job, phân quyền theo owner/admin.</t>
  </si>
  <si>
    <t>List/detail trả đúng dữ liệu</t>
  </si>
  <si>
    <t>BE1-11</t>
  </si>
  <si>
    <t>API cancel job</t>
  </si>
  <si>
    <t>POST /crawl-jobs/:id/cancel, cập nhật status CANCELED.</t>
  </si>
  <si>
    <t>Cancel job hợp lệ</t>
  </si>
  <si>
    <t>BE2-04</t>
  </si>
  <si>
    <t>Worker</t>
  </si>
  <si>
    <t>Worker xử lý job SCRAPE</t>
  </si>
  <si>
    <t>Worker lấy job, gọi Firecrawl scrape 1 URL, lưu CrawlPage.</t>
  </si>
  <si>
    <t>BE2-02, BE1-09</t>
  </si>
  <si>
    <t>SCRAPE mode lưu page thành công</t>
  </si>
  <si>
    <t>BE2-05</t>
  </si>
  <si>
    <t>Worker xử lý job CRAWL</t>
  </si>
  <si>
    <t>Gọi Firecrawl crawl nhiều page, giới hạn maxPages.</t>
  </si>
  <si>
    <t>CRAWL mode lưu nhiều page</t>
  </si>
  <si>
    <t>BE2-06</t>
  </si>
  <si>
    <t>Page Processing</t>
  </si>
  <si>
    <t>Chuẩn hóa dữ liệu page</t>
  </si>
  <si>
    <t>Map title, description, markdown, status, statusCode, errorMessage.</t>
  </si>
  <si>
    <t>CrawlPage data thống nhất</t>
  </si>
  <si>
    <t>BE2-07</t>
  </si>
  <si>
    <t>Blocked Handling</t>
  </si>
  <si>
    <t>Xử lý captcha/login/paywall/block</t>
  </si>
  <si>
    <t>Không bypass, đánh status BLOCKED/LOGIN_REQUIRED/PAYWALL.</t>
  </si>
  <si>
    <t>Có status lỗi rõ ràng</t>
  </si>
  <si>
    <t>BE3-04</t>
  </si>
  <si>
    <t>Export JSON</t>
  </si>
  <si>
    <t>Xuất pages.json</t>
  </si>
  <si>
    <t>Lấy crawl_pages theo job và ghi pages.json.</t>
  </si>
  <si>
    <t>Tạo JSON export</t>
  </si>
  <si>
    <t>BE3-05</t>
  </si>
  <si>
    <t>Export CSV</t>
  </si>
  <si>
    <t>Xuất pages.csv</t>
  </si>
  <si>
    <t>Convert page result sang CSV.</t>
  </si>
  <si>
    <t>Tạo CSV export</t>
  </si>
  <si>
    <t>BE3-06</t>
  </si>
  <si>
    <t>Export Markdown</t>
  </si>
  <si>
    <t>Xuất markdown.zip</t>
  </si>
  <si>
    <t>Tạo file .md cho từng page và nén riêng.</t>
  </si>
  <si>
    <t>Tạo markdown.zip</t>
  </si>
  <si>
    <t>BE3-07</t>
  </si>
  <si>
    <t>Export ZIP</t>
  </si>
  <si>
    <t>Xuất full-result.zip</t>
  </si>
  <si>
    <t>Gom metadata.json, pages.json, pages.csv, markdown.zip.</t>
  </si>
  <si>
    <t>BE3-04, BE3-05, BE3-06</t>
  </si>
  <si>
    <t>Tạo full ZIP</t>
  </si>
  <si>
    <t>BE3-08</t>
  </si>
  <si>
    <t>Download API</t>
  </si>
  <si>
    <t>API download export</t>
  </si>
  <si>
    <t>GET /crawl-exports/:id/download và /crawl-jobs/:id/download.</t>
  </si>
  <si>
    <t>Tải file thành công</t>
  </si>
  <si>
    <t>BE1-12</t>
  </si>
  <si>
    <t>Phase 3 - Enhancement</t>
  </si>
  <si>
    <t>Users</t>
  </si>
  <si>
    <t>API quản lý user cơ bản</t>
  </si>
  <si>
    <t>ADMIN tạo/sửa/khóa user thực tập dùng nội bộ.</t>
  </si>
  <si>
    <t>CRUD user cơ bản</t>
  </si>
  <si>
    <t>BE1-13</t>
  </si>
  <si>
    <t>Limits</t>
  </si>
  <si>
    <t>Giới hạn quota theo user</t>
  </si>
  <si>
    <t>Giới hạn maxPages, số job/ngày, job đồng thời.</t>
  </si>
  <si>
    <t>User không vượt quota</t>
  </si>
  <si>
    <t>BE1-14</t>
  </si>
  <si>
    <t>Audit</t>
  </si>
  <si>
    <t>Audit log đơn giản</t>
  </si>
  <si>
    <t>Log user tạo job, tải file, cancel job.</t>
  </si>
  <si>
    <t>Audit xem được trong DB</t>
  </si>
  <si>
    <t>BE2-08</t>
  </si>
  <si>
    <t>Sitemap</t>
  </si>
  <si>
    <t>Mode sitemap</t>
  </si>
  <si>
    <t>Backend đọc sitemap.xml, parse URL, gửi danh sách cho Firecrawl.</t>
  </si>
  <si>
    <t>Crawl từ sitemap</t>
  </si>
  <si>
    <t>BE2-09</t>
  </si>
  <si>
    <t>URL List</t>
  </si>
  <si>
    <t>Mode url_list</t>
  </si>
  <si>
    <t>Nhận danh sách URL từ user và xử lý từng URL.</t>
  </si>
  <si>
    <t>Crawl nhiều URL nhập tay</t>
  </si>
  <si>
    <t>BE2-10</t>
  </si>
  <si>
    <t>Assets</t>
  </si>
  <si>
    <t>Extract assets cơ bản</t>
  </si>
  <si>
    <t>Lưu image/link/pdf vào crawl_assets.</t>
  </si>
  <si>
    <t>crawl_assets có dữ liệu</t>
  </si>
  <si>
    <t>BE2-11</t>
  </si>
  <si>
    <t>Sensitive Scan</t>
  </si>
  <si>
    <t>Scan dữ liệu nhạy cảm cơ bản</t>
  </si>
  <si>
    <t>Regex email, phone, CCCD, bank account; gắn cờ nếu cần.</t>
  </si>
  <si>
    <t>Page/job có sensitive flag hoặc warning</t>
  </si>
  <si>
    <t>BE3-09</t>
  </si>
  <si>
    <t>Export Excel</t>
  </si>
  <si>
    <t>Xuất tables.xlsx/pages.xlsx</t>
  </si>
  <si>
    <t>Tạo Excel tổng hợp pages và tables nếu có HTML table.</t>
  </si>
  <si>
    <t>Tạo XLSX export</t>
  </si>
  <si>
    <t>BE3-10</t>
  </si>
  <si>
    <t>Export Metadata</t>
  </si>
  <si>
    <t>Tạo metadata.json + errors.json</t>
  </si>
  <si>
    <t>Tổng hợp thông tin job, success/failed, lỗi page.</t>
  </si>
  <si>
    <t>ZIP có metadata/errors</t>
  </si>
  <si>
    <t>BE3-11</t>
  </si>
  <si>
    <t>Testing</t>
  </si>
  <si>
    <t>Test API chính bằng Postman</t>
  </si>
  <si>
    <t>Viết test case cho auth, crawl job, download.</t>
  </si>
  <si>
    <t>BE1-10, BE3-08</t>
  </si>
  <si>
    <t>Có collection/test case</t>
  </si>
  <si>
    <t>BE3-12</t>
  </si>
  <si>
    <t>Error UX API</t>
  </si>
  <si>
    <t>Chuẩn hóa error code/message</t>
  </si>
  <si>
    <t>Map lỗi crawl sang message dễ hiểu cho frontend.</t>
  </si>
  <si>
    <t>Error response thống nhất</t>
  </si>
  <si>
    <t>BE1-15</t>
  </si>
  <si>
    <t>Phase 4 - Stabilization</t>
  </si>
  <si>
    <t>Integration</t>
  </si>
  <si>
    <t>Review API contract cho FE</t>
  </si>
  <si>
    <t>Chốt response DTO, pagination, filter, status enum.</t>
  </si>
  <si>
    <t>BE 2, BE 3</t>
  </si>
  <si>
    <t>Phase 2 APIs</t>
  </si>
  <si>
    <t>API contract rõ ràng</t>
  </si>
  <si>
    <t>BE1-16</t>
  </si>
  <si>
    <t>Security</t>
  </si>
  <si>
    <t>Security review backend</t>
  </si>
  <si>
    <t>Kiểm tra auth, role, private IP, rate limit.</t>
  </si>
  <si>
    <t>BE1-13, BE2-03</t>
  </si>
  <si>
    <t>Không có lỗ hổng cơ bản</t>
  </si>
  <si>
    <t>BE2-12</t>
  </si>
  <si>
    <t>Retry/timeout/concurrency</t>
  </si>
  <si>
    <t>Cấu hình retry, timeout, concurrency worker.</t>
  </si>
  <si>
    <t>Worker ổn định hơn</t>
  </si>
  <si>
    <t>BE2-13</t>
  </si>
  <si>
    <t>Progress tracking</t>
  </si>
  <si>
    <t>Cập nhật crawledPages, failedPages, totalPages.</t>
  </si>
  <si>
    <t>Progress hiển thị đúng</t>
  </si>
  <si>
    <t>BE2-14</t>
  </si>
  <si>
    <t>End-to-end crawl flow</t>
  </si>
  <si>
    <t>Test tạo job -&gt; worker -&gt; export -&gt; download.</t>
  </si>
  <si>
    <t>Luồng full chạy được</t>
  </si>
  <si>
    <t>BE3-13</t>
  </si>
  <si>
    <t>README setup local</t>
  </si>
  <si>
    <t>Hướng dẫn pnpm install, migrate, seed, dev, worker.</t>
  </si>
  <si>
    <t>README đủ để chạy source</t>
  </si>
  <si>
    <t>BE3-14</t>
  </si>
  <si>
    <t>API docs hoàn chỉnh</t>
  </si>
  <si>
    <t>Cập nhật Postman/Swagger đủ API đã làm.</t>
  </si>
  <si>
    <t>Docs test được</t>
  </si>
  <si>
    <t>BE3-15</t>
  </si>
  <si>
    <t>QA</t>
  </si>
  <si>
    <t>Bug fix &amp; checklist bàn giao</t>
  </si>
  <si>
    <t>Tổng hợp bug, verify acceptance criteria.</t>
  </si>
  <si>
    <t>BE 1, BE 2</t>
  </si>
  <si>
    <t>Checklist hoàn thành</t>
  </si>
  <si>
    <t>Thời gian</t>
  </si>
  <si>
    <t>Mục tiêu</t>
  </si>
  <si>
    <t>Output chính</t>
  </si>
  <si>
    <t>Owner chính</t>
  </si>
  <si>
    <t>01/07 - 05/07</t>
  </si>
  <si>
    <t>Khởi tạo source, DB, migration, queue, storage</t>
  </si>
  <si>
    <t>Source chạy được, migrate được, Firecrawl client base</t>
  </si>
  <si>
    <t>06/07 - 12/07</t>
  </si>
  <si>
    <t>Dựng API và worker crawl/export MVP</t>
  </si>
  <si>
    <t>Auth, Crawl Job API, Worker, JSON/CSV/ZIP download</t>
  </si>
  <si>
    <t>BE 1 + BE 2 + BE 3</t>
  </si>
  <si>
    <t>13/07 - 19/07</t>
  </si>
  <si>
    <t>Bổ sung sitemap, url list, assets, Excel, quota</t>
  </si>
  <si>
    <t>Mode nâng cao, export xlsx, logs, testing</t>
  </si>
  <si>
    <t>BE 2 + BE 3</t>
  </si>
  <si>
    <t>20/07 - 25/07</t>
  </si>
  <si>
    <t>Ổn định API, docs, test end-to-end</t>
  </si>
  <si>
    <t>README, Postman/Swagger, flow hoàn chỉnh</t>
  </si>
  <si>
    <t>BE</t>
  </si>
  <si>
    <t>Vai trò chính</t>
  </si>
  <si>
    <t>Module phụ trách</t>
  </si>
  <si>
    <t>Task quan trọng</t>
  </si>
  <si>
    <t>Output cần bàn giao</t>
  </si>
  <si>
    <t>API/Auth/Database Lead</t>
  </si>
  <si>
    <t>Project setup, Prisma migration, Auth/RBAC, Crawl Job API, User/Quota/Security</t>
  </si>
  <si>
    <t>BE1-01 → BE1-16</t>
  </si>
  <si>
    <t>API core chạy được, DB code-first, role/security ổn</t>
  </si>
  <si>
    <t>Ưu tiên code nền để BE 2/3 tích hợp</t>
  </si>
  <si>
    <t>Crawler/Worker Lead</t>
  </si>
  <si>
    <t>BullMQ, Redis, Firecrawl, Worker, Page processing, Sitemap, Assets</t>
  </si>
  <si>
    <t>BE2-01 → BE2-14</t>
  </si>
  <si>
    <t>Crawl flow chạy được, lưu page/assets/status đúng</t>
  </si>
  <si>
    <t>Không bypass captcha/login/paywall</t>
  </si>
  <si>
    <t>Export/Download/QA Lead</t>
  </si>
  <si>
    <t>Storage, Export JSON/CSV/XLSX/Markdown/ZIP, Download API, Docs, QA</t>
  </si>
  <si>
    <t>BE3-01 → BE3-15</t>
  </si>
  <si>
    <t>File export tải được, docs/test đầy đủ</t>
  </si>
  <si>
    <t>Phối hợp BE 1 để chuẩn hóa API response</t>
  </si>
  <si>
    <t>Owners</t>
  </si>
  <si>
    <t>Phase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</si>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</sst>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6">
    <font>
      <sz val="11"/>
      <color rgb="FF000000"/>
      <name val="Carlito"/>
      <scheme val="minor"/>
    </font>
    <font>
      <b/>
      <sz val="16"/>
      <color rgb="FFFFFFFF"/>
      <name val="Carlito"/>
    </font>
    <font>
      <b/>
      <sz val="11"/>
      <color rgb="FFFFFFFF"/>
      <name val="Carlito"/>
    </font>
    <font>
      <i/>
      <sz val="11"/>
      <color theme="1"/>
      <name val="Carlito"/>
    </font>
    <font>
      <sz val="11"/>
      <color theme="1"/>
      <name val="Carlito"/>
      <scheme val="minor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AF7"/>
        <b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wrapText="1"/>
    </xf>
    <xf numFmtId="164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15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Task_Phan_Cong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Roadmap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Theo_BE-style" pivot="0" count="3" xr9:uid="{00000000-0011-0000-FFFF-FFFF02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Phân bổ task và effort theo BE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Số task</c:v>
          </c:tx>
          <c:spPr>
            <a:solidFill>
              <a:srgbClr val="156082"/>
            </a:solidFill>
            <a:ln cmpd="sng">
              <a:noFill/>
            </a:ln>
          </c:spPr>
          <c:invertIfNegative val="1"/>
          <c:cat>
            <c:strRef>
              <c:f>Dashboard!$A$15:$A$17</c:f>
              <c:strCache>
                <c:ptCount val="3"/>
                <c:pt idx="0">
                  <c:v>BE 1</c:v>
                </c:pt>
                <c:pt idx="1">
                  <c:v>BE 2</c:v>
                </c:pt>
                <c:pt idx="2">
                  <c:v>BE 3</c:v>
                </c:pt>
              </c:strCache>
            </c:strRef>
          </c:cat>
          <c:val>
            <c:numRef>
              <c:f>Dashboard!$B$15:$B$17</c:f>
              <c:numCache>
                <c:formatCode>General</c:formatCode>
                <c:ptCount val="3"/>
                <c:pt idx="0">
                  <c:v>16</c:v>
                </c:pt>
                <c:pt idx="1">
                  <c:v>14</c:v>
                </c:pt>
                <c:pt idx="2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D0E-4AA5-A799-B13EA8732DA2}"/>
            </c:ext>
          </c:extLst>
        </c:ser>
        <c:ser>
          <c:idx val="1"/>
          <c:order val="1"/>
          <c:tx>
            <c:v>Tổng ngày est</c:v>
          </c:tx>
          <c:spPr>
            <a:solidFill>
              <a:srgbClr val="E97132"/>
            </a:solidFill>
            <a:ln cmpd="sng">
              <a:noFill/>
            </a:ln>
          </c:spPr>
          <c:invertIfNegative val="1"/>
          <c:cat>
            <c:strRef>
              <c:f>Dashboard!$A$15:$A$17</c:f>
              <c:strCache>
                <c:ptCount val="3"/>
                <c:pt idx="0">
                  <c:v>BE 1</c:v>
                </c:pt>
                <c:pt idx="1">
                  <c:v>BE 2</c:v>
                </c:pt>
                <c:pt idx="2">
                  <c:v>BE 3</c:v>
                </c:pt>
              </c:strCache>
            </c:strRef>
          </c:cat>
          <c:val>
            <c:numRef>
              <c:f>Dashboard!$C$15:$C$17</c:f>
              <c:numCache>
                <c:formatCode>General</c:formatCode>
                <c:ptCount val="3"/>
                <c:pt idx="0">
                  <c:v>17.25</c:v>
                </c:pt>
                <c:pt idx="1">
                  <c:v>17.5</c:v>
                </c:pt>
                <c:pt idx="2">
                  <c:v>16.25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D0E-4AA5-A799-B13EA8732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4700976"/>
        <c:axId val="475714830"/>
      </c:barChart>
      <c:catAx>
        <c:axId val="784700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5714830"/>
        <c:crosses val="autoZero"/>
        <c:auto val="1"/>
        <c:lblAlgn val="ctr"/>
        <c:lblOffset val="100"/>
        <c:noMultiLvlLbl val="1"/>
      </c:catAx>
      <c:valAx>
        <c:axId val="4757148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470097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12</xdr:row>
      <xdr:rowOff>0</xdr:rowOff>
    </xdr:from>
    <xdr:ext cx="6858000" cy="3200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O46">
  <tableColumns count="15">
    <tableColumn id="1" xr3:uid="{00000000-0010-0000-0000-000001000000}" name="Task ID"/>
    <tableColumn id="2" xr3:uid="{00000000-0010-0000-0000-000002000000}" name="Giai đoạn"/>
    <tableColumn id="3" xr3:uid="{00000000-0010-0000-0000-000003000000}" name="Module"/>
    <tableColumn id="4" xr3:uid="{00000000-0010-0000-0000-000004000000}" name="Task"/>
    <tableColumn id="5" xr3:uid="{00000000-0010-0000-0000-000005000000}" name="Mô tả"/>
    <tableColumn id="6" xr3:uid="{00000000-0010-0000-0000-000006000000}" name="Owner"/>
    <tableColumn id="7" xr3:uid="{00000000-0010-0000-0000-000007000000}" name="Support"/>
    <tableColumn id="8" xr3:uid="{00000000-0010-0000-0000-000008000000}" name="Priority"/>
    <tableColumn id="9" xr3:uid="{00000000-0010-0000-0000-000009000000}" name="Status"/>
    <tableColumn id="10" xr3:uid="{00000000-0010-0000-0000-00000A000000}" name="Start"/>
    <tableColumn id="11" xr3:uid="{00000000-0010-0000-0000-00000B000000}" name="Due"/>
    <tableColumn id="12" xr3:uid="{00000000-0010-0000-0000-00000C000000}" name="Est Days"/>
    <tableColumn id="13" xr3:uid="{00000000-0010-0000-0000-00000D000000}" name="Dependency"/>
    <tableColumn id="14" xr3:uid="{00000000-0010-0000-0000-00000E000000}" name="Acceptance Criteria"/>
    <tableColumn id="15" xr3:uid="{00000000-0010-0000-0000-00000F000000}" name="Notes"/>
  </tableColumns>
  <tableStyleInfo name="Task_Phan_Co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E5">
  <tableColumns count="5">
    <tableColumn id="1" xr3:uid="{00000000-0010-0000-0100-000001000000}" name="Giai đoạn"/>
    <tableColumn id="2" xr3:uid="{00000000-0010-0000-0100-000002000000}" name="Thời gian"/>
    <tableColumn id="3" xr3:uid="{00000000-0010-0000-0100-000003000000}" name="Mục tiêu"/>
    <tableColumn id="4" xr3:uid="{00000000-0010-0000-0100-000004000000}" name="Output chính"/>
    <tableColumn id="5" xr3:uid="{00000000-0010-0000-0100-000005000000}" name="Owner chính"/>
  </tableColumns>
  <tableStyleInfo name="Roadmap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F4">
  <tableColumns count="6">
    <tableColumn id="1" xr3:uid="{00000000-0010-0000-0200-000001000000}" name="BE"/>
    <tableColumn id="2" xr3:uid="{00000000-0010-0000-0200-000002000000}" name="Vai trò chính"/>
    <tableColumn id="3" xr3:uid="{00000000-0010-0000-0200-000003000000}" name="Module phụ trách"/>
    <tableColumn id="4" xr3:uid="{00000000-0010-0000-0200-000004000000}" name="Task quan trọng"/>
    <tableColumn id="5" xr3:uid="{00000000-0010-0000-0200-000005000000}" name="Output cần bàn giao"/>
    <tableColumn id="6" xr3:uid="{00000000-0010-0000-0200-000006000000}" name="Ghi chú"/>
  </tableColumns>
  <tableStyleInfo name="Theo_B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>
      <selection activeCell="D5" sqref="D5"/>
    </sheetView>
  </sheetViews>
  <sheetFormatPr defaultColWidth="12.59765625" defaultRowHeight="15" customHeight="1"/>
  <cols>
    <col min="1" max="1" width="22" customWidth="1"/>
    <col min="2" max="2" width="14" customWidth="1"/>
    <col min="3" max="3" width="18" customWidth="1"/>
    <col min="4" max="4" width="34" customWidth="1"/>
    <col min="5" max="5" width="40" customWidth="1"/>
    <col min="6" max="6" width="20" customWidth="1"/>
    <col min="7" max="7" width="16" customWidth="1"/>
    <col min="8" max="8" width="14" customWidth="1"/>
    <col min="9" max="26" width="8.59765625" customWidth="1"/>
  </cols>
  <sheetData>
    <row r="1" spans="1:15" ht="30" customHeight="1">
      <c r="A1" s="7" t="s">
        <v>0</v>
      </c>
      <c r="B1" s="8"/>
      <c r="C1" s="8"/>
      <c r="D1" s="8"/>
      <c r="E1" s="8"/>
      <c r="F1" s="8"/>
      <c r="G1" s="8"/>
      <c r="H1" s="8"/>
      <c r="I1" s="1"/>
      <c r="J1" s="1"/>
      <c r="K1" s="1"/>
      <c r="L1" s="1"/>
      <c r="M1" s="1"/>
      <c r="N1" s="1"/>
      <c r="O1" s="1"/>
    </row>
    <row r="2" spans="1:15" ht="14.4">
      <c r="A2" s="9" t="s">
        <v>1</v>
      </c>
      <c r="B2" s="8"/>
      <c r="C2" s="8"/>
      <c r="D2" s="8"/>
      <c r="E2" s="8"/>
      <c r="F2" s="8"/>
      <c r="G2" s="8"/>
      <c r="H2" s="8"/>
    </row>
    <row r="4" spans="1:15" ht="13.8">
      <c r="A4" s="2" t="s">
        <v>2</v>
      </c>
      <c r="B4" s="2" t="s">
        <v>3</v>
      </c>
      <c r="C4" s="2" t="s">
        <v>4</v>
      </c>
      <c r="E4" s="2" t="s">
        <v>5</v>
      </c>
      <c r="F4" s="2" t="s">
        <v>6</v>
      </c>
    </row>
    <row r="5" spans="1:15" ht="13.8">
      <c r="A5" s="3" t="s">
        <v>7</v>
      </c>
      <c r="B5" s="3">
        <f>COUNTA(Task_Phan_Cong!A2:A46)</f>
        <v>45</v>
      </c>
      <c r="E5" s="3" t="s">
        <v>8</v>
      </c>
      <c r="F5" s="3">
        <f>COUNTIF(Task_Phan_Cong!I2:I46,"To Do")</f>
        <v>45</v>
      </c>
    </row>
    <row r="6" spans="1:15" ht="13.8">
      <c r="A6" s="3" t="s">
        <v>9</v>
      </c>
      <c r="B6" s="3">
        <f>COUNTIF(Task_Phan_Cong!F2:F46,"BE 1")</f>
        <v>16</v>
      </c>
      <c r="C6" s="3" t="s">
        <v>10</v>
      </c>
      <c r="E6" s="3" t="s">
        <v>11</v>
      </c>
      <c r="F6" s="3">
        <f>COUNTIF(Task_Phan_Cong!I2:I46,"In Progress")</f>
        <v>0</v>
      </c>
    </row>
    <row r="7" spans="1:15" ht="13.8">
      <c r="A7" s="3" t="s">
        <v>12</v>
      </c>
      <c r="B7" s="3">
        <f>COUNTIF(Task_Phan_Cong!F2:F46,"BE 2")</f>
        <v>14</v>
      </c>
      <c r="C7" s="3" t="s">
        <v>13</v>
      </c>
      <c r="E7" s="3" t="s">
        <v>14</v>
      </c>
      <c r="F7" s="3">
        <f>COUNTIF(Task_Phan_Cong!I2:I46,"Review")</f>
        <v>0</v>
      </c>
    </row>
    <row r="8" spans="1:15" ht="13.8">
      <c r="A8" s="3" t="s">
        <v>15</v>
      </c>
      <c r="B8" s="3">
        <f>COUNTIF(Task_Phan_Cong!F2:F46,"BE 3")</f>
        <v>15</v>
      </c>
      <c r="C8" s="3" t="s">
        <v>16</v>
      </c>
      <c r="E8" s="3" t="s">
        <v>17</v>
      </c>
      <c r="F8" s="3">
        <f>COUNTIF(Task_Phan_Cong!I2:I46,"Done")</f>
        <v>0</v>
      </c>
    </row>
    <row r="9" spans="1:15" ht="13.8">
      <c r="A9" s="3" t="s">
        <v>18</v>
      </c>
      <c r="B9" s="3">
        <f>COUNTIF(Task_Phan_Cong!H2:H46,"P0")</f>
        <v>31</v>
      </c>
      <c r="C9" s="3" t="s">
        <v>19</v>
      </c>
      <c r="E9" s="3" t="s">
        <v>20</v>
      </c>
      <c r="F9" s="3">
        <f>COUNTIF(Task_Phan_Cong!I2:I46,"Blocked")</f>
        <v>0</v>
      </c>
    </row>
    <row r="10" spans="1:15" ht="13.8">
      <c r="A10" s="3" t="s">
        <v>21</v>
      </c>
      <c r="B10" s="3">
        <f>COUNTIF(Task_Phan_Cong!H2:H46,"P1")</f>
        <v>12</v>
      </c>
      <c r="C10" s="3" t="s">
        <v>22</v>
      </c>
    </row>
    <row r="11" spans="1:15" ht="13.8">
      <c r="A11" s="3" t="s">
        <v>23</v>
      </c>
      <c r="B11" s="3">
        <f>COUNTIF(Task_Phan_Cong!H2:H46,"P2")</f>
        <v>2</v>
      </c>
      <c r="C11" s="3" t="s">
        <v>24</v>
      </c>
    </row>
    <row r="14" spans="1:15" ht="13.8">
      <c r="A14" s="2" t="s">
        <v>25</v>
      </c>
      <c r="B14" s="2" t="s">
        <v>6</v>
      </c>
      <c r="C14" s="2" t="s">
        <v>26</v>
      </c>
    </row>
    <row r="15" spans="1:15" ht="13.8">
      <c r="A15" s="3" t="s">
        <v>9</v>
      </c>
      <c r="B15" s="3">
        <f>COUNTIF(Task_Phan_Cong!F2:F46,"BE 1")</f>
        <v>16</v>
      </c>
      <c r="C15" s="3">
        <f>SUMIF(Task_Phan_Cong!F2:F46,"BE 1",Task_Phan_Cong!L2:L46)</f>
        <v>17.25</v>
      </c>
    </row>
    <row r="16" spans="1:15" ht="13.8">
      <c r="A16" s="3" t="s">
        <v>12</v>
      </c>
      <c r="B16" s="3">
        <f>COUNTIF(Task_Phan_Cong!F2:F46,"BE 2")</f>
        <v>14</v>
      </c>
      <c r="C16" s="3">
        <f>SUMIF(Task_Phan_Cong!F2:F46,"BE 2",Task_Phan_Cong!L2:L46)</f>
        <v>17.5</v>
      </c>
    </row>
    <row r="17" spans="1:3" ht="13.8">
      <c r="A17" s="3" t="s">
        <v>15</v>
      </c>
      <c r="B17" s="3">
        <f>COUNTIF(Task_Phan_Cong!F2:F46,"BE 3")</f>
        <v>15</v>
      </c>
      <c r="C17" s="3">
        <f>SUMIF(Task_Phan_Cong!F2:F46,"BE 3",Task_Phan_Cong!L2:L46)</f>
        <v>16.25</v>
      </c>
    </row>
    <row r="21" spans="1:3" ht="15.75" customHeight="1"/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topLeftCell="A32" workbookViewId="0">
      <selection activeCell="J47" sqref="J47"/>
    </sheetView>
  </sheetViews>
  <sheetFormatPr defaultColWidth="12.59765625" defaultRowHeight="15" customHeight="1"/>
  <cols>
    <col min="1" max="1" width="12" customWidth="1"/>
    <col min="2" max="2" width="22" customWidth="1"/>
    <col min="3" max="3" width="18" customWidth="1"/>
    <col min="4" max="4" width="28" customWidth="1"/>
    <col min="5" max="5" width="40" customWidth="1"/>
    <col min="6" max="6" width="12" customWidth="1"/>
    <col min="7" max="7" width="20" customWidth="1"/>
    <col min="8" max="8" width="10" customWidth="1"/>
    <col min="9" max="9" width="14" customWidth="1"/>
    <col min="10" max="11" width="12" customWidth="1"/>
    <col min="12" max="12" width="10" customWidth="1"/>
    <col min="13" max="13" width="24" customWidth="1"/>
    <col min="14" max="14" width="42" customWidth="1"/>
    <col min="15" max="15" width="20" customWidth="1"/>
    <col min="16" max="26" width="8.59765625" customWidth="1"/>
  </cols>
  <sheetData>
    <row r="1" spans="1:15" ht="27.75" customHeight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25</v>
      </c>
      <c r="G1" s="1" t="s">
        <v>32</v>
      </c>
      <c r="H1" s="1" t="s">
        <v>33</v>
      </c>
      <c r="I1" s="1" t="s">
        <v>5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</row>
    <row r="2" spans="1:15" ht="33.75" customHeight="1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9</v>
      </c>
      <c r="G2" s="4" t="s">
        <v>12</v>
      </c>
      <c r="H2" s="4" t="s">
        <v>18</v>
      </c>
      <c r="I2" s="4" t="s">
        <v>8</v>
      </c>
      <c r="J2" s="5">
        <v>46235</v>
      </c>
      <c r="K2" s="5">
        <v>46236</v>
      </c>
      <c r="L2" s="6">
        <v>1</v>
      </c>
      <c r="M2" s="4"/>
      <c r="N2" s="4" t="s">
        <v>45</v>
      </c>
      <c r="O2" s="4"/>
    </row>
    <row r="3" spans="1:15" ht="33.75" customHeight="1">
      <c r="A3" s="4" t="s">
        <v>46</v>
      </c>
      <c r="B3" s="4" t="s">
        <v>41</v>
      </c>
      <c r="C3" s="4" t="s">
        <v>47</v>
      </c>
      <c r="D3" s="4" t="s">
        <v>48</v>
      </c>
      <c r="E3" s="4" t="s">
        <v>49</v>
      </c>
      <c r="F3" s="4" t="s">
        <v>9</v>
      </c>
      <c r="G3" s="4" t="s">
        <v>15</v>
      </c>
      <c r="H3" s="4" t="s">
        <v>18</v>
      </c>
      <c r="I3" s="4" t="s">
        <v>8</v>
      </c>
      <c r="J3" s="5">
        <v>46235</v>
      </c>
      <c r="K3" s="5">
        <v>46236</v>
      </c>
      <c r="L3" s="6">
        <v>1</v>
      </c>
      <c r="M3" s="4" t="s">
        <v>40</v>
      </c>
      <c r="N3" s="4" t="s">
        <v>50</v>
      </c>
      <c r="O3" s="4"/>
    </row>
    <row r="4" spans="1:15" ht="33.75" customHeight="1">
      <c r="A4" s="4" t="s">
        <v>51</v>
      </c>
      <c r="B4" s="4" t="s">
        <v>41</v>
      </c>
      <c r="C4" s="4" t="s">
        <v>47</v>
      </c>
      <c r="D4" s="4" t="s">
        <v>52</v>
      </c>
      <c r="E4" s="4" t="s">
        <v>53</v>
      </c>
      <c r="F4" s="4" t="s">
        <v>9</v>
      </c>
      <c r="G4" s="4" t="s">
        <v>12</v>
      </c>
      <c r="H4" s="4" t="s">
        <v>18</v>
      </c>
      <c r="I4" s="4" t="s">
        <v>8</v>
      </c>
      <c r="J4" s="5">
        <v>46236</v>
      </c>
      <c r="K4" s="5">
        <v>46237</v>
      </c>
      <c r="L4" s="6">
        <v>1.5</v>
      </c>
      <c r="M4" s="4" t="s">
        <v>46</v>
      </c>
      <c r="N4" s="4" t="s">
        <v>54</v>
      </c>
      <c r="O4" s="4"/>
    </row>
    <row r="5" spans="1:15" ht="33.75" customHeight="1">
      <c r="A5" s="4" t="s">
        <v>55</v>
      </c>
      <c r="B5" s="4" t="s">
        <v>41</v>
      </c>
      <c r="C5" s="4" t="s">
        <v>56</v>
      </c>
      <c r="D5" s="4" t="s">
        <v>57</v>
      </c>
      <c r="E5" s="4" t="s">
        <v>58</v>
      </c>
      <c r="F5" s="4" t="s">
        <v>9</v>
      </c>
      <c r="G5" s="4" t="s">
        <v>15</v>
      </c>
      <c r="H5" s="4" t="s">
        <v>18</v>
      </c>
      <c r="I5" s="4" t="s">
        <v>8</v>
      </c>
      <c r="J5" s="5">
        <v>46237</v>
      </c>
      <c r="K5" s="5">
        <v>46238</v>
      </c>
      <c r="L5" s="6">
        <v>0.5</v>
      </c>
      <c r="M5" s="4" t="s">
        <v>51</v>
      </c>
      <c r="N5" s="4" t="s">
        <v>59</v>
      </c>
      <c r="O5" s="4"/>
    </row>
    <row r="6" spans="1:15" ht="33.75" customHeight="1">
      <c r="A6" s="4" t="s">
        <v>60</v>
      </c>
      <c r="B6" s="4" t="s">
        <v>41</v>
      </c>
      <c r="C6" s="4" t="s">
        <v>61</v>
      </c>
      <c r="D6" s="4" t="s">
        <v>62</v>
      </c>
      <c r="E6" s="4" t="s">
        <v>63</v>
      </c>
      <c r="F6" s="4" t="s">
        <v>9</v>
      </c>
      <c r="G6" s="4" t="s">
        <v>15</v>
      </c>
      <c r="H6" s="4" t="s">
        <v>21</v>
      </c>
      <c r="I6" s="4" t="s">
        <v>8</v>
      </c>
      <c r="J6" s="5">
        <v>46237</v>
      </c>
      <c r="K6" s="5">
        <v>46238</v>
      </c>
      <c r="L6" s="6">
        <v>0.5</v>
      </c>
      <c r="M6" s="4" t="s">
        <v>55</v>
      </c>
      <c r="N6" s="4" t="s">
        <v>64</v>
      </c>
      <c r="O6" s="4"/>
    </row>
    <row r="7" spans="1:15" ht="33.75" customHeight="1">
      <c r="A7" s="4" t="s">
        <v>65</v>
      </c>
      <c r="B7" s="4" t="s">
        <v>41</v>
      </c>
      <c r="C7" s="4" t="s">
        <v>66</v>
      </c>
      <c r="D7" s="4" t="s">
        <v>67</v>
      </c>
      <c r="E7" s="4" t="s">
        <v>68</v>
      </c>
      <c r="F7" s="4" t="s">
        <v>9</v>
      </c>
      <c r="G7" s="4" t="s">
        <v>12</v>
      </c>
      <c r="H7" s="4" t="s">
        <v>18</v>
      </c>
      <c r="I7" s="4" t="s">
        <v>8</v>
      </c>
      <c r="J7" s="5">
        <v>46238</v>
      </c>
      <c r="K7" s="5">
        <v>46239</v>
      </c>
      <c r="L7" s="6">
        <v>1</v>
      </c>
      <c r="M7" s="4" t="s">
        <v>40</v>
      </c>
      <c r="N7" s="4" t="s">
        <v>69</v>
      </c>
      <c r="O7" s="4"/>
    </row>
    <row r="8" spans="1:15" ht="33.75" customHeight="1">
      <c r="A8" s="4" t="s">
        <v>70</v>
      </c>
      <c r="B8" s="4" t="s">
        <v>41</v>
      </c>
      <c r="C8" s="4" t="s">
        <v>71</v>
      </c>
      <c r="D8" s="4" t="s">
        <v>72</v>
      </c>
      <c r="E8" s="4" t="s">
        <v>73</v>
      </c>
      <c r="F8" s="4" t="s">
        <v>12</v>
      </c>
      <c r="G8" s="4" t="s">
        <v>9</v>
      </c>
      <c r="H8" s="4" t="s">
        <v>18</v>
      </c>
      <c r="I8" s="4" t="s">
        <v>8</v>
      </c>
      <c r="J8" s="5">
        <v>46236</v>
      </c>
      <c r="K8" s="5">
        <v>46237</v>
      </c>
      <c r="L8" s="6">
        <v>1</v>
      </c>
      <c r="M8" s="4" t="s">
        <v>40</v>
      </c>
      <c r="N8" s="4" t="s">
        <v>74</v>
      </c>
      <c r="O8" s="4"/>
    </row>
    <row r="9" spans="1:15" ht="33.75" customHeight="1">
      <c r="A9" s="4" t="s">
        <v>75</v>
      </c>
      <c r="B9" s="4" t="s">
        <v>41</v>
      </c>
      <c r="C9" s="4" t="s">
        <v>76</v>
      </c>
      <c r="D9" s="4" t="s">
        <v>77</v>
      </c>
      <c r="E9" s="4" t="s">
        <v>78</v>
      </c>
      <c r="F9" s="4" t="s">
        <v>12</v>
      </c>
      <c r="G9" s="4" t="s">
        <v>9</v>
      </c>
      <c r="H9" s="4" t="s">
        <v>18</v>
      </c>
      <c r="I9" s="4" t="s">
        <v>8</v>
      </c>
      <c r="J9" s="5">
        <v>46237</v>
      </c>
      <c r="K9" s="5">
        <v>46238</v>
      </c>
      <c r="L9" s="6">
        <v>1</v>
      </c>
      <c r="M9" s="4" t="s">
        <v>40</v>
      </c>
      <c r="N9" s="4" t="s">
        <v>79</v>
      </c>
      <c r="O9" s="4"/>
    </row>
    <row r="10" spans="1:15" ht="33.75" customHeight="1">
      <c r="A10" s="4" t="s">
        <v>80</v>
      </c>
      <c r="B10" s="4" t="s">
        <v>41</v>
      </c>
      <c r="C10" s="4" t="s">
        <v>81</v>
      </c>
      <c r="D10" s="4" t="s">
        <v>82</v>
      </c>
      <c r="E10" s="4" t="s">
        <v>83</v>
      </c>
      <c r="F10" s="4" t="s">
        <v>12</v>
      </c>
      <c r="G10" s="4" t="s">
        <v>9</v>
      </c>
      <c r="H10" s="4" t="s">
        <v>18</v>
      </c>
      <c r="I10" s="4" t="s">
        <v>8</v>
      </c>
      <c r="J10" s="5">
        <v>46238</v>
      </c>
      <c r="K10" s="5">
        <v>46239</v>
      </c>
      <c r="L10" s="6">
        <v>1</v>
      </c>
      <c r="M10" s="4" t="s">
        <v>65</v>
      </c>
      <c r="N10" s="4" t="s">
        <v>84</v>
      </c>
      <c r="O10" s="4"/>
    </row>
    <row r="11" spans="1:15" ht="33.75" customHeight="1">
      <c r="A11" s="4" t="s">
        <v>85</v>
      </c>
      <c r="B11" s="4" t="s">
        <v>41</v>
      </c>
      <c r="C11" s="4" t="s">
        <v>86</v>
      </c>
      <c r="D11" s="4" t="s">
        <v>87</v>
      </c>
      <c r="E11" s="4" t="s">
        <v>88</v>
      </c>
      <c r="F11" s="4" t="s">
        <v>15</v>
      </c>
      <c r="G11" s="4" t="s">
        <v>9</v>
      </c>
      <c r="H11" s="4" t="s">
        <v>18</v>
      </c>
      <c r="I11" s="4" t="s">
        <v>8</v>
      </c>
      <c r="J11" s="5">
        <v>46236</v>
      </c>
      <c r="K11" s="5">
        <v>46237</v>
      </c>
      <c r="L11" s="6">
        <v>0.5</v>
      </c>
      <c r="M11" s="4" t="s">
        <v>40</v>
      </c>
      <c r="N11" s="4" t="s">
        <v>89</v>
      </c>
      <c r="O11" s="4"/>
    </row>
    <row r="12" spans="1:15" ht="33.75" customHeight="1">
      <c r="A12" s="4" t="s">
        <v>90</v>
      </c>
      <c r="B12" s="4" t="s">
        <v>41</v>
      </c>
      <c r="C12" s="4" t="s">
        <v>91</v>
      </c>
      <c r="D12" s="4" t="s">
        <v>92</v>
      </c>
      <c r="E12" s="4" t="s">
        <v>93</v>
      </c>
      <c r="F12" s="4" t="s">
        <v>15</v>
      </c>
      <c r="G12" s="4" t="s">
        <v>12</v>
      </c>
      <c r="H12" s="4" t="s">
        <v>18</v>
      </c>
      <c r="I12" s="4" t="s">
        <v>8</v>
      </c>
      <c r="J12" s="5">
        <v>46237</v>
      </c>
      <c r="K12" s="5">
        <v>46238</v>
      </c>
      <c r="L12" s="6">
        <v>1</v>
      </c>
      <c r="M12" s="4" t="s">
        <v>85</v>
      </c>
      <c r="N12" s="4" t="s">
        <v>94</v>
      </c>
      <c r="O12" s="4"/>
    </row>
    <row r="13" spans="1:15" ht="33.75" customHeight="1">
      <c r="A13" s="4" t="s">
        <v>95</v>
      </c>
      <c r="B13" s="4" t="s">
        <v>41</v>
      </c>
      <c r="C13" s="4" t="s">
        <v>96</v>
      </c>
      <c r="D13" s="4" t="s">
        <v>97</v>
      </c>
      <c r="E13" s="4" t="s">
        <v>98</v>
      </c>
      <c r="F13" s="4" t="s">
        <v>15</v>
      </c>
      <c r="G13" s="4" t="s">
        <v>9</v>
      </c>
      <c r="H13" s="4" t="s">
        <v>21</v>
      </c>
      <c r="I13" s="4" t="s">
        <v>8</v>
      </c>
      <c r="J13" s="5">
        <v>46238</v>
      </c>
      <c r="K13" s="5">
        <v>46239</v>
      </c>
      <c r="L13" s="6">
        <v>1</v>
      </c>
      <c r="M13" s="4" t="s">
        <v>65</v>
      </c>
      <c r="N13" s="4" t="s">
        <v>99</v>
      </c>
      <c r="O13" s="4"/>
    </row>
    <row r="14" spans="1:15" ht="33.75" customHeight="1">
      <c r="A14" s="4" t="s">
        <v>100</v>
      </c>
      <c r="B14" s="4" t="s">
        <v>101</v>
      </c>
      <c r="C14" s="4" t="s">
        <v>102</v>
      </c>
      <c r="D14" s="4" t="s">
        <v>103</v>
      </c>
      <c r="E14" s="4" t="s">
        <v>104</v>
      </c>
      <c r="F14" s="4" t="s">
        <v>9</v>
      </c>
      <c r="G14" s="4" t="s">
        <v>15</v>
      </c>
      <c r="H14" s="4" t="s">
        <v>18</v>
      </c>
      <c r="I14" s="4" t="s">
        <v>8</v>
      </c>
      <c r="J14" s="5">
        <v>46240</v>
      </c>
      <c r="K14" s="5">
        <v>46241</v>
      </c>
      <c r="L14" s="6">
        <v>1.5</v>
      </c>
      <c r="M14" s="4" t="s">
        <v>60</v>
      </c>
      <c r="N14" s="4" t="s">
        <v>105</v>
      </c>
      <c r="O14" s="4"/>
    </row>
    <row r="15" spans="1:15" ht="33.75" customHeight="1">
      <c r="A15" s="4" t="s">
        <v>106</v>
      </c>
      <c r="B15" s="4" t="s">
        <v>101</v>
      </c>
      <c r="C15" s="4" t="s">
        <v>107</v>
      </c>
      <c r="D15" s="4" t="s">
        <v>108</v>
      </c>
      <c r="E15" s="4" t="s">
        <v>109</v>
      </c>
      <c r="F15" s="4" t="s">
        <v>9</v>
      </c>
      <c r="G15" s="4" t="s">
        <v>15</v>
      </c>
      <c r="H15" s="4" t="s">
        <v>18</v>
      </c>
      <c r="I15" s="4" t="s">
        <v>8</v>
      </c>
      <c r="J15" s="5">
        <v>46241</v>
      </c>
      <c r="K15" s="5">
        <v>46242</v>
      </c>
      <c r="L15" s="6">
        <v>1</v>
      </c>
      <c r="M15" s="4" t="s">
        <v>100</v>
      </c>
      <c r="N15" s="4" t="s">
        <v>110</v>
      </c>
      <c r="O15" s="4"/>
    </row>
    <row r="16" spans="1:15" ht="33.75" customHeight="1">
      <c r="A16" s="4" t="s">
        <v>111</v>
      </c>
      <c r="B16" s="4" t="s">
        <v>101</v>
      </c>
      <c r="C16" s="4" t="s">
        <v>112</v>
      </c>
      <c r="D16" s="4" t="s">
        <v>113</v>
      </c>
      <c r="E16" s="4" t="s">
        <v>114</v>
      </c>
      <c r="F16" s="4" t="s">
        <v>9</v>
      </c>
      <c r="G16" s="4" t="s">
        <v>12</v>
      </c>
      <c r="H16" s="4" t="s">
        <v>18</v>
      </c>
      <c r="I16" s="4" t="s">
        <v>8</v>
      </c>
      <c r="J16" s="5">
        <v>46242</v>
      </c>
      <c r="K16" s="5">
        <v>46243</v>
      </c>
      <c r="L16" s="6">
        <v>1.5</v>
      </c>
      <c r="M16" s="4" t="s">
        <v>70</v>
      </c>
      <c r="N16" s="4" t="s">
        <v>115</v>
      </c>
      <c r="O16" s="4"/>
    </row>
    <row r="17" spans="1:15" ht="33.75" customHeight="1">
      <c r="A17" s="4" t="s">
        <v>116</v>
      </c>
      <c r="B17" s="4" t="s">
        <v>101</v>
      </c>
      <c r="C17" s="4" t="s">
        <v>112</v>
      </c>
      <c r="D17" s="4" t="s">
        <v>117</v>
      </c>
      <c r="E17" s="4" t="s">
        <v>118</v>
      </c>
      <c r="F17" s="4" t="s">
        <v>9</v>
      </c>
      <c r="G17" s="4" t="s">
        <v>15</v>
      </c>
      <c r="H17" s="4" t="s">
        <v>18</v>
      </c>
      <c r="I17" s="4" t="s">
        <v>8</v>
      </c>
      <c r="J17" s="5">
        <v>46243</v>
      </c>
      <c r="K17" s="5">
        <v>46244</v>
      </c>
      <c r="L17" s="6">
        <v>1</v>
      </c>
      <c r="M17" s="4" t="s">
        <v>111</v>
      </c>
      <c r="N17" s="4" t="s">
        <v>119</v>
      </c>
      <c r="O17" s="4"/>
    </row>
    <row r="18" spans="1:15" ht="33.75" customHeight="1">
      <c r="A18" s="4" t="s">
        <v>120</v>
      </c>
      <c r="B18" s="4" t="s">
        <v>101</v>
      </c>
      <c r="C18" s="4" t="s">
        <v>112</v>
      </c>
      <c r="D18" s="4" t="s">
        <v>121</v>
      </c>
      <c r="E18" s="4" t="s">
        <v>122</v>
      </c>
      <c r="F18" s="4" t="s">
        <v>9</v>
      </c>
      <c r="G18" s="4" t="s">
        <v>12</v>
      </c>
      <c r="H18" s="4" t="s">
        <v>21</v>
      </c>
      <c r="I18" s="4" t="s">
        <v>8</v>
      </c>
      <c r="J18" s="5">
        <v>46244</v>
      </c>
      <c r="K18" s="5">
        <v>46245</v>
      </c>
      <c r="L18" s="6">
        <v>0.75</v>
      </c>
      <c r="M18" s="4" t="s">
        <v>116</v>
      </c>
      <c r="N18" s="4" t="s">
        <v>123</v>
      </c>
      <c r="O18" s="4"/>
    </row>
    <row r="19" spans="1:15" ht="33.75" customHeight="1">
      <c r="A19" s="4" t="s">
        <v>124</v>
      </c>
      <c r="B19" s="4" t="s">
        <v>101</v>
      </c>
      <c r="C19" s="4" t="s">
        <v>125</v>
      </c>
      <c r="D19" s="4" t="s">
        <v>126</v>
      </c>
      <c r="E19" s="4" t="s">
        <v>127</v>
      </c>
      <c r="F19" s="4" t="s">
        <v>12</v>
      </c>
      <c r="G19" s="4" t="s">
        <v>9</v>
      </c>
      <c r="H19" s="4" t="s">
        <v>18</v>
      </c>
      <c r="I19" s="4" t="s">
        <v>8</v>
      </c>
      <c r="J19" s="5">
        <v>46240</v>
      </c>
      <c r="K19" s="5">
        <v>46242</v>
      </c>
      <c r="L19" s="6">
        <v>2</v>
      </c>
      <c r="M19" s="4" t="s">
        <v>128</v>
      </c>
      <c r="N19" s="4" t="s">
        <v>129</v>
      </c>
      <c r="O19" s="4"/>
    </row>
    <row r="20" spans="1:15" ht="33.75" customHeight="1">
      <c r="A20" s="4" t="s">
        <v>130</v>
      </c>
      <c r="B20" s="4" t="s">
        <v>101</v>
      </c>
      <c r="C20" s="4" t="s">
        <v>125</v>
      </c>
      <c r="D20" s="4" t="s">
        <v>131</v>
      </c>
      <c r="E20" s="4" t="s">
        <v>132</v>
      </c>
      <c r="F20" s="4" t="s">
        <v>12</v>
      </c>
      <c r="G20" s="4" t="s">
        <v>9</v>
      </c>
      <c r="H20" s="4" t="s">
        <v>18</v>
      </c>
      <c r="I20" s="4" t="s">
        <v>8</v>
      </c>
      <c r="J20" s="5">
        <v>46242</v>
      </c>
      <c r="K20" s="5">
        <v>46244</v>
      </c>
      <c r="L20" s="6">
        <v>2</v>
      </c>
      <c r="M20" s="4" t="s">
        <v>124</v>
      </c>
      <c r="N20" s="4" t="s">
        <v>133</v>
      </c>
      <c r="O20" s="4"/>
    </row>
    <row r="21" spans="1:15" ht="33.75" customHeight="1">
      <c r="A21" s="4" t="s">
        <v>134</v>
      </c>
      <c r="B21" s="4" t="s">
        <v>101</v>
      </c>
      <c r="C21" s="4" t="s">
        <v>135</v>
      </c>
      <c r="D21" s="4" t="s">
        <v>136</v>
      </c>
      <c r="E21" s="4" t="s">
        <v>137</v>
      </c>
      <c r="F21" s="4" t="s">
        <v>12</v>
      </c>
      <c r="G21" s="4" t="s">
        <v>15</v>
      </c>
      <c r="H21" s="4" t="s">
        <v>18</v>
      </c>
      <c r="I21" s="4" t="s">
        <v>8</v>
      </c>
      <c r="J21" s="5">
        <v>46243</v>
      </c>
      <c r="K21" s="5">
        <v>46245</v>
      </c>
      <c r="L21" s="6">
        <v>1</v>
      </c>
      <c r="M21" s="4" t="s">
        <v>124</v>
      </c>
      <c r="N21" s="4" t="s">
        <v>138</v>
      </c>
      <c r="O21" s="4"/>
    </row>
    <row r="22" spans="1:15" ht="33.75" customHeight="1">
      <c r="A22" s="4" t="s">
        <v>139</v>
      </c>
      <c r="B22" s="4" t="s">
        <v>101</v>
      </c>
      <c r="C22" s="4" t="s">
        <v>140</v>
      </c>
      <c r="D22" s="4" t="s">
        <v>141</v>
      </c>
      <c r="E22" s="4" t="s">
        <v>142</v>
      </c>
      <c r="F22" s="4" t="s">
        <v>12</v>
      </c>
      <c r="G22" s="4" t="s">
        <v>9</v>
      </c>
      <c r="H22" s="4" t="s">
        <v>21</v>
      </c>
      <c r="I22" s="4" t="s">
        <v>8</v>
      </c>
      <c r="J22" s="5">
        <v>46245</v>
      </c>
      <c r="K22" s="5">
        <v>46246</v>
      </c>
      <c r="L22" s="6">
        <v>1</v>
      </c>
      <c r="M22" s="4" t="s">
        <v>134</v>
      </c>
      <c r="N22" s="4" t="s">
        <v>143</v>
      </c>
      <c r="O22" s="4"/>
    </row>
    <row r="23" spans="1:15" ht="33.75" customHeight="1">
      <c r="A23" s="4" t="s">
        <v>144</v>
      </c>
      <c r="B23" s="4" t="s">
        <v>101</v>
      </c>
      <c r="C23" s="4" t="s">
        <v>145</v>
      </c>
      <c r="D23" s="4" t="s">
        <v>146</v>
      </c>
      <c r="E23" s="4" t="s">
        <v>147</v>
      </c>
      <c r="F23" s="4" t="s">
        <v>15</v>
      </c>
      <c r="G23" s="4" t="s">
        <v>12</v>
      </c>
      <c r="H23" s="4" t="s">
        <v>18</v>
      </c>
      <c r="I23" s="4" t="s">
        <v>8</v>
      </c>
      <c r="J23" s="5">
        <v>46240</v>
      </c>
      <c r="K23" s="5">
        <v>46241</v>
      </c>
      <c r="L23" s="6">
        <v>1</v>
      </c>
      <c r="M23" s="4" t="s">
        <v>90</v>
      </c>
      <c r="N23" s="4" t="s">
        <v>148</v>
      </c>
      <c r="O23" s="4"/>
    </row>
    <row r="24" spans="1:15" ht="33.75" customHeight="1">
      <c r="A24" s="4" t="s">
        <v>149</v>
      </c>
      <c r="B24" s="4" t="s">
        <v>101</v>
      </c>
      <c r="C24" s="4" t="s">
        <v>150</v>
      </c>
      <c r="D24" s="4" t="s">
        <v>151</v>
      </c>
      <c r="E24" s="4" t="s">
        <v>152</v>
      </c>
      <c r="F24" s="4" t="s">
        <v>15</v>
      </c>
      <c r="G24" s="4" t="s">
        <v>12</v>
      </c>
      <c r="H24" s="4" t="s">
        <v>18</v>
      </c>
      <c r="I24" s="4" t="s">
        <v>8</v>
      </c>
      <c r="J24" s="5">
        <v>46241</v>
      </c>
      <c r="K24" s="5">
        <v>46242</v>
      </c>
      <c r="L24" s="6">
        <v>1</v>
      </c>
      <c r="M24" s="4" t="s">
        <v>144</v>
      </c>
      <c r="N24" s="4" t="s">
        <v>153</v>
      </c>
      <c r="O24" s="4"/>
    </row>
    <row r="25" spans="1:15" ht="33.75" customHeight="1">
      <c r="A25" s="4" t="s">
        <v>154</v>
      </c>
      <c r="B25" s="4" t="s">
        <v>101</v>
      </c>
      <c r="C25" s="4" t="s">
        <v>155</v>
      </c>
      <c r="D25" s="4" t="s">
        <v>156</v>
      </c>
      <c r="E25" s="4" t="s">
        <v>157</v>
      </c>
      <c r="F25" s="4" t="s">
        <v>15</v>
      </c>
      <c r="G25" s="4" t="s">
        <v>12</v>
      </c>
      <c r="H25" s="4" t="s">
        <v>18</v>
      </c>
      <c r="I25" s="4" t="s">
        <v>8</v>
      </c>
      <c r="J25" s="5">
        <v>46242</v>
      </c>
      <c r="K25" s="5">
        <v>46243</v>
      </c>
      <c r="L25" s="6">
        <v>1</v>
      </c>
      <c r="M25" s="4" t="s">
        <v>144</v>
      </c>
      <c r="N25" s="4" t="s">
        <v>158</v>
      </c>
      <c r="O25" s="4"/>
    </row>
    <row r="26" spans="1:15" ht="33.75" customHeight="1">
      <c r="A26" s="4" t="s">
        <v>159</v>
      </c>
      <c r="B26" s="4" t="s">
        <v>101</v>
      </c>
      <c r="C26" s="4" t="s">
        <v>160</v>
      </c>
      <c r="D26" s="4" t="s">
        <v>161</v>
      </c>
      <c r="E26" s="4" t="s">
        <v>162</v>
      </c>
      <c r="F26" s="4" t="s">
        <v>15</v>
      </c>
      <c r="G26" s="4" t="s">
        <v>9</v>
      </c>
      <c r="H26" s="4" t="s">
        <v>18</v>
      </c>
      <c r="I26" s="4" t="s">
        <v>8</v>
      </c>
      <c r="J26" s="5">
        <v>46243</v>
      </c>
      <c r="K26" s="5">
        <v>46245</v>
      </c>
      <c r="L26" s="6">
        <v>1.5</v>
      </c>
      <c r="M26" s="4" t="s">
        <v>163</v>
      </c>
      <c r="N26" s="4" t="s">
        <v>164</v>
      </c>
      <c r="O26" s="4"/>
    </row>
    <row r="27" spans="1:15" ht="33.75" customHeight="1">
      <c r="A27" s="4" t="s">
        <v>165</v>
      </c>
      <c r="B27" s="4" t="s">
        <v>101</v>
      </c>
      <c r="C27" s="4" t="s">
        <v>166</v>
      </c>
      <c r="D27" s="4" t="s">
        <v>167</v>
      </c>
      <c r="E27" s="4" t="s">
        <v>168</v>
      </c>
      <c r="F27" s="4" t="s">
        <v>15</v>
      </c>
      <c r="G27" s="4" t="s">
        <v>9</v>
      </c>
      <c r="H27" s="4" t="s">
        <v>18</v>
      </c>
      <c r="I27" s="4" t="s">
        <v>8</v>
      </c>
      <c r="J27" s="5">
        <v>46245</v>
      </c>
      <c r="K27" s="5">
        <v>46246</v>
      </c>
      <c r="L27" s="6">
        <v>1</v>
      </c>
      <c r="M27" s="4" t="s">
        <v>159</v>
      </c>
      <c r="N27" s="4" t="s">
        <v>169</v>
      </c>
      <c r="O27" s="4"/>
    </row>
    <row r="28" spans="1:15" ht="33.75" customHeight="1">
      <c r="A28" s="4" t="s">
        <v>170</v>
      </c>
      <c r="B28" s="4" t="s">
        <v>171</v>
      </c>
      <c r="C28" s="4" t="s">
        <v>172</v>
      </c>
      <c r="D28" s="4" t="s">
        <v>173</v>
      </c>
      <c r="E28" s="4" t="s">
        <v>174</v>
      </c>
      <c r="F28" s="4" t="s">
        <v>9</v>
      </c>
      <c r="G28" s="4" t="s">
        <v>15</v>
      </c>
      <c r="H28" s="4" t="s">
        <v>21</v>
      </c>
      <c r="I28" s="4" t="s">
        <v>8</v>
      </c>
      <c r="J28" s="5">
        <v>46247</v>
      </c>
      <c r="K28" s="5">
        <v>46249</v>
      </c>
      <c r="L28" s="6">
        <v>1.5</v>
      </c>
      <c r="M28" s="4" t="s">
        <v>106</v>
      </c>
      <c r="N28" s="4" t="s">
        <v>175</v>
      </c>
      <c r="O28" s="4"/>
    </row>
    <row r="29" spans="1:15" ht="33.75" customHeight="1">
      <c r="A29" s="4" t="s">
        <v>176</v>
      </c>
      <c r="B29" s="4" t="s">
        <v>171</v>
      </c>
      <c r="C29" s="4" t="s">
        <v>177</v>
      </c>
      <c r="D29" s="4" t="s">
        <v>178</v>
      </c>
      <c r="E29" s="4" t="s">
        <v>179</v>
      </c>
      <c r="F29" s="4" t="s">
        <v>9</v>
      </c>
      <c r="G29" s="4" t="s">
        <v>12</v>
      </c>
      <c r="H29" s="4" t="s">
        <v>21</v>
      </c>
      <c r="I29" s="4" t="s">
        <v>8</v>
      </c>
      <c r="J29" s="5">
        <v>46249</v>
      </c>
      <c r="K29" s="5">
        <v>46250</v>
      </c>
      <c r="L29" s="6">
        <v>1</v>
      </c>
      <c r="M29" s="4" t="s">
        <v>111</v>
      </c>
      <c r="N29" s="4" t="s">
        <v>180</v>
      </c>
      <c r="O29" s="4"/>
    </row>
    <row r="30" spans="1:15" ht="33.75" customHeight="1">
      <c r="A30" s="4" t="s">
        <v>181</v>
      </c>
      <c r="B30" s="4" t="s">
        <v>171</v>
      </c>
      <c r="C30" s="4" t="s">
        <v>182</v>
      </c>
      <c r="D30" s="4" t="s">
        <v>183</v>
      </c>
      <c r="E30" s="4" t="s">
        <v>184</v>
      </c>
      <c r="F30" s="4" t="s">
        <v>9</v>
      </c>
      <c r="G30" s="4" t="s">
        <v>15</v>
      </c>
      <c r="H30" s="4" t="s">
        <v>23</v>
      </c>
      <c r="I30" s="4" t="s">
        <v>8</v>
      </c>
      <c r="J30" s="5">
        <v>46250</v>
      </c>
      <c r="K30" s="5">
        <v>46251</v>
      </c>
      <c r="L30" s="6">
        <v>1</v>
      </c>
      <c r="M30" s="4" t="s">
        <v>116</v>
      </c>
      <c r="N30" s="4" t="s">
        <v>185</v>
      </c>
      <c r="O30" s="4"/>
    </row>
    <row r="31" spans="1:15" ht="33.75" customHeight="1">
      <c r="A31" s="4" t="s">
        <v>186</v>
      </c>
      <c r="B31" s="4" t="s">
        <v>171</v>
      </c>
      <c r="C31" s="4" t="s">
        <v>187</v>
      </c>
      <c r="D31" s="4" t="s">
        <v>188</v>
      </c>
      <c r="E31" s="4" t="s">
        <v>189</v>
      </c>
      <c r="F31" s="4" t="s">
        <v>12</v>
      </c>
      <c r="G31" s="4" t="s">
        <v>9</v>
      </c>
      <c r="H31" s="4" t="s">
        <v>21</v>
      </c>
      <c r="I31" s="4" t="s">
        <v>8</v>
      </c>
      <c r="J31" s="5">
        <v>46247</v>
      </c>
      <c r="K31" s="5">
        <v>46249</v>
      </c>
      <c r="L31" s="6">
        <v>1.5</v>
      </c>
      <c r="M31" s="4" t="s">
        <v>130</v>
      </c>
      <c r="N31" s="4" t="s">
        <v>190</v>
      </c>
      <c r="O31" s="4"/>
    </row>
    <row r="32" spans="1:15" ht="33.75" customHeight="1">
      <c r="A32" s="4" t="s">
        <v>191</v>
      </c>
      <c r="B32" s="4" t="s">
        <v>171</v>
      </c>
      <c r="C32" s="4" t="s">
        <v>192</v>
      </c>
      <c r="D32" s="4" t="s">
        <v>193</v>
      </c>
      <c r="E32" s="4" t="s">
        <v>194</v>
      </c>
      <c r="F32" s="4" t="s">
        <v>12</v>
      </c>
      <c r="G32" s="4" t="s">
        <v>9</v>
      </c>
      <c r="H32" s="4" t="s">
        <v>21</v>
      </c>
      <c r="I32" s="4" t="s">
        <v>8</v>
      </c>
      <c r="J32" s="5">
        <v>46249</v>
      </c>
      <c r="K32" s="5">
        <v>46250</v>
      </c>
      <c r="L32" s="6">
        <v>1</v>
      </c>
      <c r="M32" s="4" t="s">
        <v>124</v>
      </c>
      <c r="N32" s="4" t="s">
        <v>195</v>
      </c>
      <c r="O32" s="4"/>
    </row>
    <row r="33" spans="1:15" ht="33.75" customHeight="1">
      <c r="A33" s="4" t="s">
        <v>196</v>
      </c>
      <c r="B33" s="4" t="s">
        <v>171</v>
      </c>
      <c r="C33" s="4" t="s">
        <v>197</v>
      </c>
      <c r="D33" s="4" t="s">
        <v>198</v>
      </c>
      <c r="E33" s="4" t="s">
        <v>199</v>
      </c>
      <c r="F33" s="4" t="s">
        <v>12</v>
      </c>
      <c r="G33" s="4" t="s">
        <v>15</v>
      </c>
      <c r="H33" s="4" t="s">
        <v>21</v>
      </c>
      <c r="I33" s="4" t="s">
        <v>8</v>
      </c>
      <c r="J33" s="5">
        <v>46250</v>
      </c>
      <c r="K33" s="5">
        <v>46252</v>
      </c>
      <c r="L33" s="6">
        <v>1.5</v>
      </c>
      <c r="M33" s="4" t="s">
        <v>134</v>
      </c>
      <c r="N33" s="4" t="s">
        <v>200</v>
      </c>
      <c r="O33" s="4"/>
    </row>
    <row r="34" spans="1:15" ht="33.75" customHeight="1">
      <c r="A34" s="4" t="s">
        <v>201</v>
      </c>
      <c r="B34" s="4" t="s">
        <v>171</v>
      </c>
      <c r="C34" s="4" t="s">
        <v>202</v>
      </c>
      <c r="D34" s="4" t="s">
        <v>203</v>
      </c>
      <c r="E34" s="4" t="s">
        <v>204</v>
      </c>
      <c r="F34" s="4" t="s">
        <v>12</v>
      </c>
      <c r="G34" s="4" t="s">
        <v>9</v>
      </c>
      <c r="H34" s="4" t="s">
        <v>23</v>
      </c>
      <c r="I34" s="4" t="s">
        <v>8</v>
      </c>
      <c r="J34" s="5">
        <v>46252</v>
      </c>
      <c r="K34" s="5">
        <v>46253</v>
      </c>
      <c r="L34" s="6">
        <v>1</v>
      </c>
      <c r="M34" s="4" t="s">
        <v>134</v>
      </c>
      <c r="N34" s="4" t="s">
        <v>205</v>
      </c>
      <c r="O34" s="4"/>
    </row>
    <row r="35" spans="1:15" ht="33.75" customHeight="1">
      <c r="A35" s="4" t="s">
        <v>206</v>
      </c>
      <c r="B35" s="4" t="s">
        <v>171</v>
      </c>
      <c r="C35" s="4" t="s">
        <v>207</v>
      </c>
      <c r="D35" s="4" t="s">
        <v>208</v>
      </c>
      <c r="E35" s="4" t="s">
        <v>209</v>
      </c>
      <c r="F35" s="4" t="s">
        <v>15</v>
      </c>
      <c r="G35" s="4" t="s">
        <v>12</v>
      </c>
      <c r="H35" s="4" t="s">
        <v>21</v>
      </c>
      <c r="I35" s="4" t="s">
        <v>8</v>
      </c>
      <c r="J35" s="5">
        <v>46247</v>
      </c>
      <c r="K35" s="5">
        <v>46249</v>
      </c>
      <c r="L35" s="6">
        <v>1.5</v>
      </c>
      <c r="M35" s="4" t="s">
        <v>149</v>
      </c>
      <c r="N35" s="4" t="s">
        <v>210</v>
      </c>
      <c r="O35" s="4"/>
    </row>
    <row r="36" spans="1:15" ht="33.75" customHeight="1">
      <c r="A36" s="4" t="s">
        <v>211</v>
      </c>
      <c r="B36" s="4" t="s">
        <v>171</v>
      </c>
      <c r="C36" s="4" t="s">
        <v>212</v>
      </c>
      <c r="D36" s="4" t="s">
        <v>213</v>
      </c>
      <c r="E36" s="4" t="s">
        <v>214</v>
      </c>
      <c r="F36" s="4" t="s">
        <v>15</v>
      </c>
      <c r="G36" s="4" t="s">
        <v>12</v>
      </c>
      <c r="H36" s="4" t="s">
        <v>18</v>
      </c>
      <c r="I36" s="4" t="s">
        <v>8</v>
      </c>
      <c r="J36" s="5">
        <v>46249</v>
      </c>
      <c r="K36" s="5">
        <v>46250</v>
      </c>
      <c r="L36" s="6">
        <v>1</v>
      </c>
      <c r="M36" s="4" t="s">
        <v>159</v>
      </c>
      <c r="N36" s="4" t="s">
        <v>215</v>
      </c>
      <c r="O36" s="4"/>
    </row>
    <row r="37" spans="1:15" ht="33.75" customHeight="1">
      <c r="A37" s="4" t="s">
        <v>216</v>
      </c>
      <c r="B37" s="4" t="s">
        <v>171</v>
      </c>
      <c r="C37" s="4" t="s">
        <v>217</v>
      </c>
      <c r="D37" s="4" t="s">
        <v>218</v>
      </c>
      <c r="E37" s="4" t="s">
        <v>219</v>
      </c>
      <c r="F37" s="4" t="s">
        <v>15</v>
      </c>
      <c r="G37" s="4" t="s">
        <v>9</v>
      </c>
      <c r="H37" s="4" t="s">
        <v>21</v>
      </c>
      <c r="I37" s="4" t="s">
        <v>8</v>
      </c>
      <c r="J37" s="5">
        <v>46250</v>
      </c>
      <c r="K37" s="5">
        <v>46252</v>
      </c>
      <c r="L37" s="6">
        <v>1.5</v>
      </c>
      <c r="M37" s="4" t="s">
        <v>220</v>
      </c>
      <c r="N37" s="4" t="s">
        <v>221</v>
      </c>
      <c r="O37" s="4"/>
    </row>
    <row r="38" spans="1:15" ht="33.75" customHeight="1">
      <c r="A38" s="4" t="s">
        <v>222</v>
      </c>
      <c r="B38" s="4" t="s">
        <v>171</v>
      </c>
      <c r="C38" s="4" t="s">
        <v>223</v>
      </c>
      <c r="D38" s="4" t="s">
        <v>224</v>
      </c>
      <c r="E38" s="4" t="s">
        <v>225</v>
      </c>
      <c r="F38" s="4" t="s">
        <v>15</v>
      </c>
      <c r="G38" s="4" t="s">
        <v>12</v>
      </c>
      <c r="H38" s="4" t="s">
        <v>21</v>
      </c>
      <c r="I38" s="4" t="s">
        <v>8</v>
      </c>
      <c r="J38" s="5">
        <v>46252</v>
      </c>
      <c r="K38" s="5">
        <v>46253</v>
      </c>
      <c r="L38" s="6">
        <v>1</v>
      </c>
      <c r="M38" s="4" t="s">
        <v>139</v>
      </c>
      <c r="N38" s="4" t="s">
        <v>226</v>
      </c>
      <c r="O38" s="4"/>
    </row>
    <row r="39" spans="1:15" ht="33.75" customHeight="1">
      <c r="A39" s="4" t="s">
        <v>227</v>
      </c>
      <c r="B39" s="4" t="s">
        <v>228</v>
      </c>
      <c r="C39" s="4" t="s">
        <v>229</v>
      </c>
      <c r="D39" s="4" t="s">
        <v>230</v>
      </c>
      <c r="E39" s="4" t="s">
        <v>231</v>
      </c>
      <c r="F39" s="4" t="s">
        <v>9</v>
      </c>
      <c r="G39" s="4" t="s">
        <v>232</v>
      </c>
      <c r="H39" s="4" t="s">
        <v>18</v>
      </c>
      <c r="I39" s="4" t="s">
        <v>8</v>
      </c>
      <c r="J39" s="5">
        <v>46254</v>
      </c>
      <c r="K39" s="5">
        <v>46255</v>
      </c>
      <c r="L39" s="6">
        <v>1</v>
      </c>
      <c r="M39" s="4" t="s">
        <v>233</v>
      </c>
      <c r="N39" s="4" t="s">
        <v>234</v>
      </c>
      <c r="O39" s="4"/>
    </row>
    <row r="40" spans="1:15" ht="33.75" customHeight="1">
      <c r="A40" s="4" t="s">
        <v>235</v>
      </c>
      <c r="B40" s="4" t="s">
        <v>228</v>
      </c>
      <c r="C40" s="4" t="s">
        <v>236</v>
      </c>
      <c r="D40" s="4" t="s">
        <v>237</v>
      </c>
      <c r="E40" s="4" t="s">
        <v>238</v>
      </c>
      <c r="F40" s="4" t="s">
        <v>9</v>
      </c>
      <c r="G40" s="4" t="s">
        <v>12</v>
      </c>
      <c r="H40" s="4" t="s">
        <v>18</v>
      </c>
      <c r="I40" s="4" t="s">
        <v>8</v>
      </c>
      <c r="J40" s="5">
        <v>46255</v>
      </c>
      <c r="K40" s="5">
        <v>46257</v>
      </c>
      <c r="L40" s="6">
        <v>1.5</v>
      </c>
      <c r="M40" s="4" t="s">
        <v>239</v>
      </c>
      <c r="N40" s="4" t="s">
        <v>240</v>
      </c>
      <c r="O40" s="4"/>
    </row>
    <row r="41" spans="1:15" ht="33.75" customHeight="1">
      <c r="A41" s="4" t="s">
        <v>241</v>
      </c>
      <c r="B41" s="4" t="s">
        <v>228</v>
      </c>
      <c r="C41" s="4" t="s">
        <v>125</v>
      </c>
      <c r="D41" s="4" t="s">
        <v>242</v>
      </c>
      <c r="E41" s="4" t="s">
        <v>243</v>
      </c>
      <c r="F41" s="4" t="s">
        <v>12</v>
      </c>
      <c r="G41" s="4" t="s">
        <v>9</v>
      </c>
      <c r="H41" s="4" t="s">
        <v>18</v>
      </c>
      <c r="I41" s="4" t="s">
        <v>8</v>
      </c>
      <c r="J41" s="5">
        <v>46254</v>
      </c>
      <c r="K41" s="5">
        <v>46255</v>
      </c>
      <c r="L41" s="6">
        <v>1</v>
      </c>
      <c r="M41" s="4" t="s">
        <v>130</v>
      </c>
      <c r="N41" s="4" t="s">
        <v>244</v>
      </c>
      <c r="O41" s="4"/>
    </row>
    <row r="42" spans="1:15" ht="33.75" customHeight="1">
      <c r="A42" s="4" t="s">
        <v>245</v>
      </c>
      <c r="B42" s="4" t="s">
        <v>228</v>
      </c>
      <c r="C42" s="4" t="s">
        <v>125</v>
      </c>
      <c r="D42" s="4" t="s">
        <v>246</v>
      </c>
      <c r="E42" s="4" t="s">
        <v>247</v>
      </c>
      <c r="F42" s="4" t="s">
        <v>12</v>
      </c>
      <c r="G42" s="4" t="s">
        <v>9</v>
      </c>
      <c r="H42" s="4" t="s">
        <v>18</v>
      </c>
      <c r="I42" s="4" t="s">
        <v>8</v>
      </c>
      <c r="J42" s="5">
        <v>46255</v>
      </c>
      <c r="K42" s="5">
        <v>46256</v>
      </c>
      <c r="L42" s="6">
        <v>1</v>
      </c>
      <c r="M42" s="4" t="s">
        <v>130</v>
      </c>
      <c r="N42" s="4" t="s">
        <v>248</v>
      </c>
      <c r="O42" s="4"/>
    </row>
    <row r="43" spans="1:15" ht="33.75" customHeight="1">
      <c r="A43" s="4" t="s">
        <v>249</v>
      </c>
      <c r="B43" s="4" t="s">
        <v>228</v>
      </c>
      <c r="C43" s="4" t="s">
        <v>229</v>
      </c>
      <c r="D43" s="4" t="s">
        <v>250</v>
      </c>
      <c r="E43" s="4" t="s">
        <v>251</v>
      </c>
      <c r="F43" s="4" t="s">
        <v>12</v>
      </c>
      <c r="G43" s="4" t="s">
        <v>15</v>
      </c>
      <c r="H43" s="4" t="s">
        <v>18</v>
      </c>
      <c r="I43" s="4" t="s">
        <v>8</v>
      </c>
      <c r="J43" s="5">
        <v>46256</v>
      </c>
      <c r="K43" s="5">
        <v>46258</v>
      </c>
      <c r="L43" s="6">
        <v>1.5</v>
      </c>
      <c r="M43" s="4" t="s">
        <v>165</v>
      </c>
      <c r="N43" s="4" t="s">
        <v>252</v>
      </c>
      <c r="O43" s="4"/>
    </row>
    <row r="44" spans="1:15" ht="33.75" customHeight="1">
      <c r="A44" s="4" t="s">
        <v>253</v>
      </c>
      <c r="B44" s="4" t="s">
        <v>228</v>
      </c>
      <c r="C44" s="4" t="s">
        <v>96</v>
      </c>
      <c r="D44" s="4" t="s">
        <v>254</v>
      </c>
      <c r="E44" s="4" t="s">
        <v>255</v>
      </c>
      <c r="F44" s="4" t="s">
        <v>15</v>
      </c>
      <c r="G44" s="4" t="s">
        <v>9</v>
      </c>
      <c r="H44" s="4" t="s">
        <v>18</v>
      </c>
      <c r="I44" s="4" t="s">
        <v>8</v>
      </c>
      <c r="J44" s="5">
        <v>46254</v>
      </c>
      <c r="K44" s="5">
        <v>46255</v>
      </c>
      <c r="L44" s="6">
        <v>0.75</v>
      </c>
      <c r="M44" s="4"/>
      <c r="N44" s="4" t="s">
        <v>256</v>
      </c>
      <c r="O44" s="4"/>
    </row>
    <row r="45" spans="1:15" ht="33.75" customHeight="1">
      <c r="A45" s="4" t="s">
        <v>257</v>
      </c>
      <c r="B45" s="4" t="s">
        <v>228</v>
      </c>
      <c r="C45" s="4" t="s">
        <v>96</v>
      </c>
      <c r="D45" s="4" t="s">
        <v>258</v>
      </c>
      <c r="E45" s="4" t="s">
        <v>259</v>
      </c>
      <c r="F45" s="4" t="s">
        <v>15</v>
      </c>
      <c r="G45" s="4" t="s">
        <v>9</v>
      </c>
      <c r="H45" s="4" t="s">
        <v>18</v>
      </c>
      <c r="I45" s="4" t="s">
        <v>8</v>
      </c>
      <c r="J45" s="5">
        <v>46255</v>
      </c>
      <c r="K45" s="5">
        <v>46257</v>
      </c>
      <c r="L45" s="6">
        <v>1</v>
      </c>
      <c r="M45" s="4" t="s">
        <v>95</v>
      </c>
      <c r="N45" s="4" t="s">
        <v>260</v>
      </c>
      <c r="O45" s="4"/>
    </row>
    <row r="46" spans="1:15" ht="33.75" customHeight="1">
      <c r="A46" s="4" t="s">
        <v>261</v>
      </c>
      <c r="B46" s="4" t="s">
        <v>228</v>
      </c>
      <c r="C46" s="4" t="s">
        <v>262</v>
      </c>
      <c r="D46" s="4" t="s">
        <v>263</v>
      </c>
      <c r="E46" s="4" t="s">
        <v>264</v>
      </c>
      <c r="F46" s="4" t="s">
        <v>15</v>
      </c>
      <c r="G46" s="4" t="s">
        <v>265</v>
      </c>
      <c r="H46" s="4" t="s">
        <v>18</v>
      </c>
      <c r="I46" s="4" t="s">
        <v>8</v>
      </c>
      <c r="J46" s="5">
        <v>46257</v>
      </c>
      <c r="K46" s="5">
        <v>46259</v>
      </c>
      <c r="L46" s="6">
        <v>1.5</v>
      </c>
      <c r="M46" s="4" t="s">
        <v>249</v>
      </c>
      <c r="N46" s="4" t="s">
        <v>266</v>
      </c>
      <c r="O46" s="4"/>
    </row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46">
    <cfRule type="expression" dxfId="5" priority="1">
      <formula>H2="P0"</formula>
    </cfRule>
    <cfRule type="expression" dxfId="4" priority="2">
      <formula>H2="P1"</formula>
    </cfRule>
    <cfRule type="expression" dxfId="3" priority="3">
      <formula>H2="P2"</formula>
    </cfRule>
  </conditionalFormatting>
  <conditionalFormatting sqref="I2:I46">
    <cfRule type="expression" dxfId="2" priority="4">
      <formula>I2="Done"</formula>
    </cfRule>
    <cfRule type="expression" dxfId="1" priority="5">
      <formula>I2="Blocked"</formula>
    </cfRule>
    <cfRule type="expression" dxfId="0" priority="6">
      <formula>I2="In Progress"</formula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1000000}">
          <x14:formula1>
            <xm:f>Lists!$A$2:$A$4</xm:f>
          </x14:formula1>
          <xm:sqref>F2:F46</xm:sqref>
        </x14:dataValidation>
        <x14:dataValidation type="list" allowBlank="1" xr:uid="{00000000-0002-0000-0100-000000000000}">
          <x14:formula1>
            <xm:f>Lists!$E$2:$E$5</xm:f>
          </x14:formula1>
          <xm:sqref>B2:B46</xm:sqref>
        </x14:dataValidation>
        <x14:dataValidation type="list" allowBlank="1" xr:uid="{00000000-0002-0000-0100-000002000000}">
          <x14:formula1>
            <xm:f>Lists!$D$2:$D$4</xm:f>
          </x14:formula1>
          <xm:sqref>H2:H46</xm:sqref>
        </x14:dataValidation>
        <x14:dataValidation type="list" allowBlank="1" xr:uid="{00000000-0002-0000-0100-000003000000}">
          <x14:formula1>
            <xm:f>Lists!$C$2:$C$6</xm:f>
          </x14:formula1>
          <xm:sqref>I2:I46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workbookViewId="0"/>
  </sheetViews>
  <sheetFormatPr defaultColWidth="12.59765625" defaultRowHeight="15" customHeight="1"/>
  <cols>
    <col min="1" max="1" width="24" customWidth="1"/>
    <col min="2" max="2" width="18" customWidth="1"/>
    <col min="3" max="4" width="42" customWidth="1"/>
    <col min="5" max="5" width="24" customWidth="1"/>
    <col min="6" max="26" width="8.59765625" customWidth="1"/>
  </cols>
  <sheetData>
    <row r="1" spans="1:15" ht="39.75" customHeight="1">
      <c r="A1" s="1" t="s">
        <v>28</v>
      </c>
      <c r="B1" s="1" t="s">
        <v>267</v>
      </c>
      <c r="C1" s="1" t="s">
        <v>268</v>
      </c>
      <c r="D1" s="1" t="s">
        <v>269</v>
      </c>
      <c r="E1" s="1" t="s">
        <v>270</v>
      </c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9.75" customHeight="1">
      <c r="A2" s="3" t="s">
        <v>41</v>
      </c>
      <c r="B2" s="3" t="s">
        <v>271</v>
      </c>
      <c r="C2" s="3" t="s">
        <v>272</v>
      </c>
      <c r="D2" s="3" t="s">
        <v>273</v>
      </c>
      <c r="E2" s="3" t="s">
        <v>9</v>
      </c>
    </row>
    <row r="3" spans="1:15" ht="39.75" customHeight="1">
      <c r="A3" s="3" t="s">
        <v>101</v>
      </c>
      <c r="B3" s="3" t="s">
        <v>274</v>
      </c>
      <c r="C3" s="3" t="s">
        <v>275</v>
      </c>
      <c r="D3" s="3" t="s">
        <v>276</v>
      </c>
      <c r="E3" s="3" t="s">
        <v>277</v>
      </c>
    </row>
    <row r="4" spans="1:15" ht="39.75" customHeight="1">
      <c r="A4" s="3" t="s">
        <v>171</v>
      </c>
      <c r="B4" s="3" t="s">
        <v>278</v>
      </c>
      <c r="C4" s="3" t="s">
        <v>279</v>
      </c>
      <c r="D4" s="3" t="s">
        <v>280</v>
      </c>
      <c r="E4" s="3" t="s">
        <v>281</v>
      </c>
    </row>
    <row r="5" spans="1:15" ht="39.75" customHeight="1">
      <c r="A5" s="3" t="s">
        <v>228</v>
      </c>
      <c r="B5" s="3" t="s">
        <v>282</v>
      </c>
      <c r="C5" s="3" t="s">
        <v>283</v>
      </c>
      <c r="D5" s="3" t="s">
        <v>284</v>
      </c>
      <c r="E5" s="3" t="s">
        <v>277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0"/>
  <sheetViews>
    <sheetView workbookViewId="0">
      <selection activeCell="B6" sqref="B6"/>
    </sheetView>
  </sheetViews>
  <sheetFormatPr defaultColWidth="12.59765625" defaultRowHeight="15" customHeight="1"/>
  <cols>
    <col min="1" max="1" width="10" customWidth="1"/>
    <col min="2" max="2" width="24" customWidth="1"/>
    <col min="3" max="3" width="38" customWidth="1"/>
    <col min="4" max="4" width="34" customWidth="1"/>
    <col min="5" max="5" width="42" customWidth="1"/>
    <col min="6" max="6" width="34" customWidth="1"/>
    <col min="7" max="26" width="8.59765625" customWidth="1"/>
  </cols>
  <sheetData>
    <row r="1" spans="1:15" ht="45" customHeight="1">
      <c r="A1" s="1" t="s">
        <v>285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4</v>
      </c>
      <c r="G1" s="1"/>
      <c r="H1" s="1"/>
      <c r="I1" s="1"/>
      <c r="J1" s="1"/>
      <c r="K1" s="1"/>
      <c r="L1" s="1"/>
      <c r="M1" s="1"/>
      <c r="N1" s="1"/>
      <c r="O1" s="1"/>
    </row>
    <row r="2" spans="1:15" ht="45" customHeight="1">
      <c r="A2" s="3" t="s">
        <v>9</v>
      </c>
      <c r="B2" s="3" t="s">
        <v>290</v>
      </c>
      <c r="C2" s="3" t="s">
        <v>291</v>
      </c>
      <c r="D2" s="3" t="s">
        <v>292</v>
      </c>
      <c r="E2" s="3" t="s">
        <v>293</v>
      </c>
      <c r="F2" s="3" t="s">
        <v>294</v>
      </c>
    </row>
    <row r="3" spans="1:15" ht="45" customHeight="1">
      <c r="A3" s="3" t="s">
        <v>12</v>
      </c>
      <c r="B3" s="3" t="s">
        <v>295</v>
      </c>
      <c r="C3" s="3" t="s">
        <v>296</v>
      </c>
      <c r="D3" s="3" t="s">
        <v>297</v>
      </c>
      <c r="E3" s="3" t="s">
        <v>298</v>
      </c>
      <c r="F3" s="3" t="s">
        <v>299</v>
      </c>
    </row>
    <row r="4" spans="1:15" ht="45" customHeight="1">
      <c r="A4" s="3" t="s">
        <v>15</v>
      </c>
      <c r="B4" s="3" t="s">
        <v>300</v>
      </c>
      <c r="C4" s="3" t="s">
        <v>301</v>
      </c>
      <c r="D4" s="3" t="s">
        <v>302</v>
      </c>
      <c r="E4" s="3" t="s">
        <v>303</v>
      </c>
      <c r="F4" s="3" t="s">
        <v>304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B1" sqref="B1"/>
    </sheetView>
  </sheetViews>
  <sheetFormatPr defaultColWidth="12.59765625" defaultRowHeight="15" customHeight="1"/>
  <cols>
    <col min="1" max="4" width="20" customWidth="1"/>
    <col min="5" max="5" width="20.8984375" bestFit="1" customWidth="1"/>
    <col min="6" max="26" width="8.59765625" customWidth="1"/>
  </cols>
  <sheetData>
    <row r="1" spans="1:14" ht="13.8">
      <c r="A1" s="1" t="s">
        <v>305</v>
      </c>
      <c r="B1" s="1" t="s">
        <v>307</v>
      </c>
      <c r="C1" s="1" t="s">
        <v>5</v>
      </c>
      <c r="D1" s="1" t="s">
        <v>33</v>
      </c>
      <c r="E1" s="1" t="s">
        <v>306</v>
      </c>
      <c r="F1" s="1"/>
      <c r="G1" s="1"/>
      <c r="H1" s="1"/>
      <c r="I1" s="1"/>
      <c r="J1" s="1"/>
      <c r="K1" s="1"/>
      <c r="L1" s="1"/>
      <c r="M1" s="1"/>
      <c r="N1" s="1"/>
    </row>
    <row r="2" spans="1:14" ht="13.8">
      <c r="A2" s="3" t="s">
        <v>9</v>
      </c>
      <c r="B2" s="3"/>
      <c r="C2" s="3" t="s">
        <v>8</v>
      </c>
      <c r="D2" s="3" t="s">
        <v>18</v>
      </c>
      <c r="E2" s="3" t="s">
        <v>41</v>
      </c>
    </row>
    <row r="3" spans="1:14" ht="13.8">
      <c r="A3" s="3" t="s">
        <v>12</v>
      </c>
      <c r="B3" s="3"/>
      <c r="C3" s="3" t="s">
        <v>11</v>
      </c>
      <c r="D3" s="3" t="s">
        <v>21</v>
      </c>
      <c r="E3" s="3" t="s">
        <v>101</v>
      </c>
    </row>
    <row r="4" spans="1:14" ht="13.8">
      <c r="A4" s="3" t="s">
        <v>15</v>
      </c>
      <c r="B4" s="3"/>
      <c r="C4" s="3" t="s">
        <v>14</v>
      </c>
      <c r="D4" s="3" t="s">
        <v>23</v>
      </c>
      <c r="E4" s="3" t="s">
        <v>171</v>
      </c>
    </row>
    <row r="5" spans="1:14" ht="13.8">
      <c r="C5" s="3" t="s">
        <v>17</v>
      </c>
      <c r="E5" s="3" t="s">
        <v>228</v>
      </c>
    </row>
    <row r="6" spans="1:14" ht="13.8">
      <c r="C6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Task_Phan_Cong</vt:lpstr>
      <vt:lpstr>Roadmap</vt:lpstr>
      <vt:lpstr>Theo_BE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Chí Thịnh Nguyễn</cp:lastModifiedBy>
  <dcterms:modified xsi:type="dcterms:W3CDTF">2026-08-03T08:46:39Z</dcterms:modified>
</cp:coreProperties>
</file>