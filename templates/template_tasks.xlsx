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NodeJS\NexCampus\templates\"/>
    </mc:Choice>
  </mc:AlternateContent>
  <xr:revisionPtr revIDLastSave="0" documentId="13_ncr:1_{A99EB6F5-8B08-4528-AACC-2268ED27FB16}" xr6:coauthVersionLast="47" xr6:coauthVersionMax="47" xr10:uidLastSave="{00000000-0000-0000-0000-000000000000}"/>
  <bookViews>
    <workbookView xWindow="28680" yWindow="330" windowWidth="29040" windowHeight="15990" activeTab="3" xr2:uid="{00000000-000D-0000-FFFF-FFFF00000000}"/>
  </bookViews>
  <sheets>
    <sheet name="Dashboard" sheetId="1" r:id="rId1"/>
    <sheet name="Task_Phan_Cong" sheetId="2" r:id="rId2"/>
    <sheet name="Roadmap" sheetId="3" r:id="rId3"/>
    <sheet name="Phan_Chia_Module" sheetId="4" r:id="rId4"/>
    <sheet name="List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" l="1"/>
  <c r="B17" i="1"/>
  <c r="C16" i="1"/>
  <c r="B16" i="1"/>
  <c r="C15" i="1"/>
  <c r="B15" i="1"/>
  <c r="B11" i="1"/>
  <c r="B10" i="1"/>
  <c r="F9" i="1"/>
  <c r="B9" i="1"/>
  <c r="F8" i="1"/>
  <c r="B8" i="1"/>
  <c r="F7" i="1"/>
  <c r="B7" i="1"/>
  <c r="F6" i="1"/>
  <c r="B6" i="1"/>
  <c r="F5" i="1"/>
  <c r="B5" i="1"/>
</calcChain>
</file>

<file path=xl/sharedStrings.xml><?xml version="1.0" encoding="utf-8"?>
<sst xmlns="http://schemas.openxmlformats.org/spreadsheetml/2006/main" count="138" uniqueCount="96">
  <si>
    <t>Team: 3 BE thực tập | Stack: Express + TypeScript + pnpm + PostgreSQL + Prisma Migrate + Firecrawl</t>
  </si>
  <si>
    <t>Chỉ số</t>
  </si>
  <si>
    <t>Giá trị</t>
  </si>
  <si>
    <t>Ghi chú</t>
  </si>
  <si>
    <t>Status</t>
  </si>
  <si>
    <t>Số task</t>
  </si>
  <si>
    <t>Tổng task</t>
  </si>
  <si>
    <t>To Do</t>
  </si>
  <si>
    <t>BE 1</t>
  </si>
  <si>
    <t>API/Auth/DB</t>
  </si>
  <si>
    <t>In Progress</t>
  </si>
  <si>
    <t>BE 2</t>
  </si>
  <si>
    <t>Crawler/Worker/Firecrawl</t>
  </si>
  <si>
    <t>Review</t>
  </si>
  <si>
    <t>BE 3</t>
  </si>
  <si>
    <t>Export/Download/Docs/QA</t>
  </si>
  <si>
    <t>Done</t>
  </si>
  <si>
    <t>P0</t>
  </si>
  <si>
    <t>Bắt buộc MVP</t>
  </si>
  <si>
    <t>Blocked</t>
  </si>
  <si>
    <t>P1</t>
  </si>
  <si>
    <t>Nên có</t>
  </si>
  <si>
    <t>P2</t>
  </si>
  <si>
    <t>Nâng cấp</t>
  </si>
  <si>
    <t>Owner</t>
  </si>
  <si>
    <t>Tổng ngày est</t>
  </si>
  <si>
    <t>Task ID</t>
  </si>
  <si>
    <t>Giai đoạn</t>
  </si>
  <si>
    <t>Module</t>
  </si>
  <si>
    <t>Task</t>
  </si>
  <si>
    <t>Mô tả</t>
  </si>
  <si>
    <t>Support</t>
  </si>
  <si>
    <t>Priority</t>
  </si>
  <si>
    <t>Start</t>
  </si>
  <si>
    <t>Due</t>
  </si>
  <si>
    <t>Est Days</t>
  </si>
  <si>
    <t>Dependency</t>
  </si>
  <si>
    <t>Acceptance Criteria</t>
  </si>
  <si>
    <t>Notes</t>
  </si>
  <si>
    <t>BE1-01</t>
  </si>
  <si>
    <t>Phase 1 - Foundation</t>
  </si>
  <si>
    <t>Project Setup</t>
  </si>
  <si>
    <t>Source chạy được pnpm dev/build</t>
  </si>
  <si>
    <t>Database</t>
  </si>
  <si>
    <t>Kết nối DB thành công</t>
  </si>
  <si>
    <t>Phase 2 - API Core</t>
  </si>
  <si>
    <t>Phase 3 - Enhancement</t>
  </si>
  <si>
    <t>Phase 4 - Stabilization</t>
  </si>
  <si>
    <t>Thời gian</t>
  </si>
  <si>
    <t>Mục tiêu</t>
  </si>
  <si>
    <t>Output chính</t>
  </si>
  <si>
    <t>Owner chính</t>
  </si>
  <si>
    <t>01/07 - 05/07</t>
  </si>
  <si>
    <t>Khởi tạo source, DB, migration, queue, storage</t>
  </si>
  <si>
    <t>Source chạy được, migrate được, Firecrawl client base</t>
  </si>
  <si>
    <t>06/07 - 12/07</t>
  </si>
  <si>
    <t>Dựng API và worker crawl/export MVP</t>
  </si>
  <si>
    <t>Auth, Crawl Job API, Worker, JSON/CSV/ZIP download</t>
  </si>
  <si>
    <t>BE 1 + BE 2 + BE 3</t>
  </si>
  <si>
    <t>13/07 - 19/07</t>
  </si>
  <si>
    <t>Bổ sung sitemap, url list, assets, Excel, quota</t>
  </si>
  <si>
    <t>Mode nâng cao, export xlsx, logs, testing</t>
  </si>
  <si>
    <t>BE 2 + BE 3</t>
  </si>
  <si>
    <t>20/07 - 25/07</t>
  </si>
  <si>
    <t>Ổn định API, docs, test end-to-end</t>
  </si>
  <si>
    <t>README, Postman/Swagger, flow hoàn chỉnh</t>
  </si>
  <si>
    <t>BE</t>
  </si>
  <si>
    <t>Vai trò chính</t>
  </si>
  <si>
    <t>Module phụ trách</t>
  </si>
  <si>
    <t>Task quan trọng</t>
  </si>
  <si>
    <t>Output cần bàn giao</t>
  </si>
  <si>
    <t>API/Auth/Database Lead</t>
  </si>
  <si>
    <t>Project setup, Prisma migration, Auth/RBAC, Crawl Job API, User/Quota/Security</t>
  </si>
  <si>
    <t>BE1-01 → BE1-16</t>
  </si>
  <si>
    <t>API core chạy được, DB code-first, role/security ổn</t>
  </si>
  <si>
    <t>Ưu tiên code nền để BE 2/3 tích hợp</t>
  </si>
  <si>
    <t>Crawler/Worker Lead</t>
  </si>
  <si>
    <t>BullMQ, Redis, Firecrawl, Worker, Page processing, Sitemap, Assets</t>
  </si>
  <si>
    <t>BE2-01 → BE2-14</t>
  </si>
  <si>
    <t>Crawl flow chạy được, lưu page/assets/status đúng</t>
  </si>
  <si>
    <t>Không bypass captcha/login/paywall</t>
  </si>
  <si>
    <t>Export/Download/QA Lead</t>
  </si>
  <si>
    <t>Storage, Export JSON/CSV/XLSX/Markdown/ZIP, Download API, Docs, QA</t>
  </si>
  <si>
    <t>BE3-01 → BE3-15</t>
  </si>
  <si>
    <t>File export tải được, docs/test đầy đủ</t>
  </si>
  <si>
    <t>Phối hợp BE 1 để chuẩn hóa API response</t>
  </si>
  <si>
    <t>Owners</t>
  </si>
  <si>
    <t>Phase</t>
  </si>
  <si>
    <t>SAMPLE-01</t>
  </si>
  <si>
    <t>Khởi tạo source Express</t>
  </si>
  <si>
    <t>Cấu hình Express + TS</t>
  </si>
  <si>
    <t>Ví dụ mẫu</t>
  </si>
  <si>
    <t>SAMPLE-02</t>
  </si>
  <si>
    <t>Cấu hình Prisma</t>
  </si>
  <si>
    <t>Tạo Prisma client kết nối DB</t>
  </si>
  <si>
    <t>KẾ HOẠCH PHÂN CÔNG TASK - DỰ ÁN 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</si>
</sst>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>
    <font>
      <sz val="11"/>
      <color rgb="FF000000"/>
      <name val="Carlito"/>
      <scheme val="minor"/>
    </font>
    <font>
      <b/>
      <sz val="16"/>
      <color rgb="FFFFFFFF"/>
      <name val="Carlito"/>
    </font>
    <font>
      <b/>
      <sz val="11"/>
      <color rgb="FFFFFFFF"/>
      <name val="Carlito"/>
    </font>
    <font>
      <i/>
      <sz val="11"/>
      <color theme="1"/>
      <name val="Carlito"/>
    </font>
    <font>
      <sz val="11"/>
      <color theme="1"/>
      <name val="Carlito"/>
      <scheme val="minor"/>
    </font>
    <font>
      <sz val="11"/>
      <color theme="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D9EAF7"/>
        <b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/>
    </xf>
    <xf numFmtId="0" fontId="4" fillId="0" borderId="0" xfId="0" applyFont="1"/>
    <xf numFmtId="0" fontId="5" fillId="0" borderId="0" xfId="0" applyFont="1" applyAlignment="1">
      <alignment wrapText="1"/>
    </xf>
    <xf numFmtId="2" fontId="5" fillId="0" borderId="0" xfId="0" applyNumberFormat="1" applyFont="1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/>
    <xf numFmtId="0" fontId="3" fillId="3" borderId="0" xfId="0" applyFont="1" applyFill="1" applyAlignment="1">
      <alignment horizontal="center"/>
    </xf>
    <xf numFmtId="14" fontId="0" fillId="0" borderId="0" xfId="0" applyNumberFormat="1"/>
    <xf numFmtId="14" fontId="5" fillId="0" borderId="0" xfId="0" applyNumberFormat="1" applyFont="1" applyAlignment="1">
      <alignment wrapText="1"/>
    </xf>
  </cellXfs>
  <cellStyles count="1">
    <cellStyle name="Normal" xfId="0" builtinId="0"/>
  </cellStyles>
  <dxfs count="15"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</dxfs>
  <tableStyles count="3">
    <tableStyle name="Task_Phan_Cong-style" pivot="0" count="3" xr9:uid="{00000000-0011-0000-FFFF-FFFF00000000}">
      <tableStyleElement type="headerRow" dxfId="14"/>
      <tableStyleElement type="firstRowStripe" dxfId="13"/>
      <tableStyleElement type="secondRowStripe" dxfId="12"/>
    </tableStyle>
    <tableStyle name="Roadmap-style" pivot="0" count="3" xr9:uid="{00000000-0011-0000-FFFF-FFFF01000000}">
      <tableStyleElement type="headerRow" dxfId="11"/>
      <tableStyleElement type="firstRowStripe" dxfId="10"/>
      <tableStyleElement type="secondRowStripe" dxfId="9"/>
    </tableStyle>
    <tableStyle name="Theo_BE-style" pivot="0" count="3" xr9:uid="{00000000-0011-0000-FFFF-FFFF02000000}">
      <tableStyleElement type="headerRow" dxfId="8"/>
      <tableStyleElement type="firstRowStripe" dxfId="7"/>
      <tableStyleElement type="secondRowStripe" dxfId="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US" b="0">
                <a:solidFill>
                  <a:srgbClr val="757575"/>
                </a:solidFill>
                <a:latin typeface="+mn-lt"/>
              </a:rPr>
              <a:t>Phân bổ task và effort theo BE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Số task</c:v>
          </c:tx>
          <c:spPr>
            <a:solidFill>
              <a:srgbClr val="156082"/>
            </a:solidFill>
            <a:ln cmpd="sng">
              <a:noFill/>
            </a:ln>
          </c:spPr>
          <c:invertIfNegative val="1"/>
          <c:cat>
            <c:strRef>
              <c:f>Dashboard!$A$15:$A$17</c:f>
              <c:strCache>
                <c:ptCount val="3"/>
                <c:pt idx="0">
                  <c:v>BE 1</c:v>
                </c:pt>
                <c:pt idx="1">
                  <c:v>BE 2</c:v>
                </c:pt>
                <c:pt idx="2">
                  <c:v>BE 3</c:v>
                </c:pt>
              </c:strCache>
            </c:strRef>
          </c:cat>
          <c:val>
            <c:numRef>
              <c:f>Dashboard!$B$15:$B$17</c:f>
              <c:numCache>
                <c:formatCode>General</c:formatCode>
                <c:ptCount val="3"/>
                <c:pt idx="0">
                  <c:v>2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0E-4AA5-A799-B13EA8732DA2}"/>
            </c:ext>
          </c:extLst>
        </c:ser>
        <c:ser>
          <c:idx val="1"/>
          <c:order val="1"/>
          <c:tx>
            <c:v>Tổng ngày est</c:v>
          </c:tx>
          <c:spPr>
            <a:solidFill>
              <a:srgbClr val="E97132"/>
            </a:solidFill>
            <a:ln cmpd="sng">
              <a:noFill/>
            </a:ln>
          </c:spPr>
          <c:invertIfNegative val="1"/>
          <c:cat>
            <c:strRef>
              <c:f>Dashboard!$A$15:$A$17</c:f>
              <c:strCache>
                <c:ptCount val="3"/>
                <c:pt idx="0">
                  <c:v>BE 1</c:v>
                </c:pt>
                <c:pt idx="1">
                  <c:v>BE 2</c:v>
                </c:pt>
                <c:pt idx="2">
                  <c:v>BE 3</c:v>
                </c:pt>
              </c:strCache>
            </c:strRef>
          </c:cat>
          <c:val>
            <c:numRef>
              <c:f>Dashboard!$C$15:$C$17</c:f>
              <c:numCache>
                <c:formatCode>General</c:formatCode>
                <c:ptCount val="3"/>
                <c:pt idx="0">
                  <c:v>2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0E-4AA5-A799-B13EA8732D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84700976"/>
        <c:axId val="475714830"/>
      </c:barChart>
      <c:catAx>
        <c:axId val="7847009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75714830"/>
        <c:crosses val="autoZero"/>
        <c:auto val="1"/>
        <c:lblAlgn val="ctr"/>
        <c:lblOffset val="100"/>
        <c:noMultiLvlLbl val="1"/>
      </c:catAx>
      <c:valAx>
        <c:axId val="4757148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84700976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12</xdr:row>
      <xdr:rowOff>0</xdr:rowOff>
    </xdr:from>
    <xdr:ext cx="6858000" cy="32004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O3">
  <tableColumns count="15">
    <tableColumn id="1" xr3:uid="{00000000-0010-0000-0000-000001000000}" name="Task ID"/>
    <tableColumn id="2" xr3:uid="{00000000-0010-0000-0000-000002000000}" name="Giai đoạn"/>
    <tableColumn id="3" xr3:uid="{00000000-0010-0000-0000-000003000000}" name="Module"/>
    <tableColumn id="4" xr3:uid="{00000000-0010-0000-0000-000004000000}" name="Task"/>
    <tableColumn id="5" xr3:uid="{00000000-0010-0000-0000-000005000000}" name="Mô tả"/>
    <tableColumn id="6" xr3:uid="{00000000-0010-0000-0000-000006000000}" name="Owner"/>
    <tableColumn id="7" xr3:uid="{00000000-0010-0000-0000-000007000000}" name="Support"/>
    <tableColumn id="8" xr3:uid="{00000000-0010-0000-0000-000008000000}" name="Priority"/>
    <tableColumn id="9" xr3:uid="{00000000-0010-0000-0000-000009000000}" name="Status"/>
    <tableColumn id="10" xr3:uid="{00000000-0010-0000-0000-00000A000000}" name="Start"/>
    <tableColumn id="11" xr3:uid="{00000000-0010-0000-0000-00000B000000}" name="Due"/>
    <tableColumn id="12" xr3:uid="{00000000-0010-0000-0000-00000C000000}" name="Est Days"/>
    <tableColumn id="13" xr3:uid="{00000000-0010-0000-0000-00000D000000}" name="Dependency"/>
    <tableColumn id="14" xr3:uid="{00000000-0010-0000-0000-00000E000000}" name="Acceptance Criteria"/>
    <tableColumn id="15" xr3:uid="{00000000-0010-0000-0000-00000F000000}" name="Notes"/>
  </tableColumns>
  <tableStyleInfo name="Task_Phan_Cong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E5">
  <tableColumns count="5">
    <tableColumn id="1" xr3:uid="{00000000-0010-0000-0100-000001000000}" name="Giai đoạn"/>
    <tableColumn id="2" xr3:uid="{00000000-0010-0000-0100-000002000000}" name="Thời gian"/>
    <tableColumn id="3" xr3:uid="{00000000-0010-0000-0100-000003000000}" name="Mục tiêu"/>
    <tableColumn id="4" xr3:uid="{00000000-0010-0000-0100-000004000000}" name="Output chính"/>
    <tableColumn id="5" xr3:uid="{00000000-0010-0000-0100-000005000000}" name="Owner chính"/>
  </tableColumns>
  <tableStyleInfo name="Roadmap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1:F4">
  <tableColumns count="6">
    <tableColumn id="1" xr3:uid="{00000000-0010-0000-0200-000001000000}" name="BE"/>
    <tableColumn id="2" xr3:uid="{00000000-0010-0000-0200-000002000000}" name="Vai trò chính"/>
    <tableColumn id="3" xr3:uid="{00000000-0010-0000-0200-000003000000}" name="Module phụ trách"/>
    <tableColumn id="4" xr3:uid="{00000000-0010-0000-0200-000004000000}" name="Task quan trọng"/>
    <tableColumn id="5" xr3:uid="{00000000-0010-0000-0200-000005000000}" name="Output cần bàn giao"/>
    <tableColumn id="6" xr3:uid="{00000000-0010-0000-0200-000006000000}" name="Ghi chú"/>
  </tableColumns>
  <tableStyleInfo name="Theo_BE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00"/>
  <sheetViews>
    <sheetView workbookViewId="0">
      <selection activeCell="B35" sqref="B35"/>
    </sheetView>
  </sheetViews>
  <sheetFormatPr defaultColWidth="12.59765625" defaultRowHeight="15" customHeight="1"/>
  <cols>
    <col min="1" max="1" width="22" customWidth="1"/>
    <col min="2" max="2" width="14" customWidth="1"/>
    <col min="3" max="3" width="23.09765625" bestFit="1" customWidth="1"/>
    <col min="4" max="4" width="34" customWidth="1"/>
    <col min="5" max="5" width="40" customWidth="1"/>
    <col min="6" max="6" width="20" customWidth="1"/>
    <col min="7" max="7" width="16" customWidth="1"/>
    <col min="8" max="8" width="14" customWidth="1"/>
    <col min="9" max="26" width="8.59765625" customWidth="1"/>
  </cols>
  <sheetData>
    <row r="1" spans="1:15" ht="30" customHeight="1">
      <c r="A1" s="6" t="s">
        <v>95</v>
      </c>
      <c r="B1" s="7"/>
      <c r="C1" s="7"/>
      <c r="D1" s="7"/>
      <c r="E1" s="7"/>
      <c r="F1" s="7"/>
      <c r="G1" s="7"/>
      <c r="H1" s="7"/>
      <c r="I1" s="1"/>
      <c r="J1" s="1"/>
      <c r="K1" s="1"/>
      <c r="L1" s="1"/>
      <c r="M1" s="1"/>
      <c r="N1" s="1"/>
      <c r="O1" s="1"/>
    </row>
    <row r="2" spans="1:15" ht="14.4">
      <c r="A2" s="8" t="s">
        <v>0</v>
      </c>
      <c r="B2" s="7"/>
      <c r="C2" s="7"/>
      <c r="D2" s="7"/>
      <c r="E2" s="7"/>
      <c r="F2" s="7"/>
      <c r="G2" s="7"/>
      <c r="H2" s="7"/>
    </row>
    <row r="4" spans="1:15" ht="13.8">
      <c r="A4" s="2" t="s">
        <v>1</v>
      </c>
      <c r="B4" s="2" t="s">
        <v>2</v>
      </c>
      <c r="C4" s="2" t="s">
        <v>3</v>
      </c>
      <c r="E4" s="2" t="s">
        <v>4</v>
      </c>
      <c r="F4" s="2" t="s">
        <v>5</v>
      </c>
    </row>
    <row r="5" spans="1:15" ht="13.8">
      <c r="A5" s="3" t="s">
        <v>6</v>
      </c>
      <c r="B5" s="3">
        <f>COUNTA(Task_Phan_Cong!A2:A3)</f>
        <v>2</v>
      </c>
      <c r="E5" s="3" t="s">
        <v>7</v>
      </c>
      <c r="F5" s="3">
        <f>COUNTIF(Task_Phan_Cong!I2:I3,"To Do")</f>
        <v>2</v>
      </c>
    </row>
    <row r="6" spans="1:15" ht="13.8">
      <c r="A6" s="3" t="s">
        <v>8</v>
      </c>
      <c r="B6" s="3">
        <f>COUNTIF(Task_Phan_Cong!F2:F3,"BE 1")</f>
        <v>2</v>
      </c>
      <c r="C6" s="3" t="s">
        <v>9</v>
      </c>
      <c r="E6" s="3" t="s">
        <v>10</v>
      </c>
      <c r="F6" s="3">
        <f>COUNTIF(Task_Phan_Cong!I2:I3,"In Progress")</f>
        <v>0</v>
      </c>
    </row>
    <row r="7" spans="1:15" ht="13.8">
      <c r="A7" s="3" t="s">
        <v>11</v>
      </c>
      <c r="B7" s="3">
        <f>COUNTIF(Task_Phan_Cong!F2:F3,"BE 2")</f>
        <v>0</v>
      </c>
      <c r="C7" s="3" t="s">
        <v>12</v>
      </c>
      <c r="E7" s="3" t="s">
        <v>13</v>
      </c>
      <c r="F7" s="3">
        <f>COUNTIF(Task_Phan_Cong!I2:I3,"Review")</f>
        <v>0</v>
      </c>
    </row>
    <row r="8" spans="1:15" ht="13.8">
      <c r="A8" s="3" t="s">
        <v>14</v>
      </c>
      <c r="B8" s="3">
        <f>COUNTIF(Task_Phan_Cong!F2:F3,"BE 3")</f>
        <v>0</v>
      </c>
      <c r="C8" s="3" t="s">
        <v>15</v>
      </c>
      <c r="E8" s="3" t="s">
        <v>16</v>
      </c>
      <c r="F8" s="3">
        <f>COUNTIF(Task_Phan_Cong!I2:I3,"Done")</f>
        <v>0</v>
      </c>
    </row>
    <row r="9" spans="1:15" ht="13.8">
      <c r="A9" s="3" t="s">
        <v>17</v>
      </c>
      <c r="B9" s="3">
        <f>COUNTIF(Task_Phan_Cong!H2:H3,"P0")</f>
        <v>2</v>
      </c>
      <c r="C9" s="3" t="s">
        <v>18</v>
      </c>
      <c r="E9" s="3" t="s">
        <v>19</v>
      </c>
      <c r="F9" s="3">
        <f>COUNTIF(Task_Phan_Cong!I2:I3,"Blocked")</f>
        <v>0</v>
      </c>
    </row>
    <row r="10" spans="1:15" ht="13.8">
      <c r="A10" s="3" t="s">
        <v>20</v>
      </c>
      <c r="B10" s="3">
        <f>COUNTIF(Task_Phan_Cong!H2:H3,"P1")</f>
        <v>0</v>
      </c>
      <c r="C10" s="3" t="s">
        <v>21</v>
      </c>
    </row>
    <row r="11" spans="1:15" ht="13.8">
      <c r="A11" s="3" t="s">
        <v>22</v>
      </c>
      <c r="B11" s="3">
        <f>COUNTIF(Task_Phan_Cong!H2:H3,"P2")</f>
        <v>0</v>
      </c>
      <c r="C11" s="3" t="s">
        <v>23</v>
      </c>
    </row>
    <row r="14" spans="1:15" ht="13.8">
      <c r="A14" s="2" t="s">
        <v>24</v>
      </c>
      <c r="B14" s="2" t="s">
        <v>5</v>
      </c>
      <c r="C14" s="2" t="s">
        <v>25</v>
      </c>
    </row>
    <row r="15" spans="1:15" ht="13.8">
      <c r="A15" s="3" t="s">
        <v>8</v>
      </c>
      <c r="B15" s="3">
        <f>COUNTIF(Task_Phan_Cong!F2:F3,"BE 1")</f>
        <v>2</v>
      </c>
      <c r="C15" s="3">
        <f>SUMIF(Task_Phan_Cong!F2:F3,"BE 1",Task_Phan_Cong!L2:L3)</f>
        <v>2</v>
      </c>
    </row>
    <row r="16" spans="1:15" ht="13.8">
      <c r="A16" s="3" t="s">
        <v>11</v>
      </c>
      <c r="B16" s="3">
        <f>COUNTIF(Task_Phan_Cong!F2:F3,"BE 2")</f>
        <v>0</v>
      </c>
      <c r="C16" s="3">
        <f>SUMIF(Task_Phan_Cong!F2:F3,"BE 2",Task_Phan_Cong!L2:L3)</f>
        <v>0</v>
      </c>
    </row>
    <row r="17" spans="1:3" ht="13.8">
      <c r="A17" s="3" t="s">
        <v>14</v>
      </c>
      <c r="B17" s="3">
        <f>COUNTIF(Task_Phan_Cong!F2:F3,"BE 3")</f>
        <v>0</v>
      </c>
      <c r="C17" s="3">
        <f>SUMIF(Task_Phan_Cong!F2:F3,"BE 3",Task_Phan_Cong!L2:L3)</f>
        <v>0</v>
      </c>
    </row>
    <row r="21" spans="1:3" ht="15.75" customHeight="1"/>
    <row r="22" spans="1:3" ht="15.75" customHeight="1"/>
    <row r="23" spans="1:3" ht="15.75" customHeight="1"/>
    <row r="24" spans="1:3" ht="15.75" customHeight="1"/>
    <row r="25" spans="1:3" ht="15.75" customHeight="1"/>
    <row r="26" spans="1:3" ht="15.75" customHeight="1"/>
    <row r="27" spans="1:3" ht="15.75" customHeight="1"/>
    <row r="28" spans="1:3" ht="15.75" customHeight="1"/>
    <row r="29" spans="1:3" ht="15.75" customHeight="1"/>
    <row r="30" spans="1:3" ht="15.75" customHeight="1"/>
    <row r="31" spans="1:3" ht="15.75" customHeight="1"/>
    <row r="32" spans="1:3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H1"/>
    <mergeCell ref="A2:H2"/>
  </mergeCells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957"/>
  <sheetViews>
    <sheetView zoomScaleNormal="100" workbookViewId="0">
      <selection activeCell="E18" sqref="E18"/>
    </sheetView>
  </sheetViews>
  <sheetFormatPr defaultColWidth="12.59765625" defaultRowHeight="15" customHeight="1"/>
  <cols>
    <col min="1" max="1" width="12" customWidth="1"/>
    <col min="2" max="2" width="22" customWidth="1"/>
    <col min="3" max="3" width="18" customWidth="1"/>
    <col min="4" max="4" width="28" customWidth="1"/>
    <col min="5" max="5" width="40" customWidth="1"/>
    <col min="6" max="6" width="12" customWidth="1"/>
    <col min="7" max="7" width="20" customWidth="1"/>
    <col min="8" max="8" width="10" customWidth="1"/>
    <col min="9" max="9" width="14" customWidth="1"/>
    <col min="10" max="11" width="12" customWidth="1"/>
    <col min="12" max="12" width="10" customWidth="1"/>
    <col min="13" max="13" width="24" customWidth="1"/>
    <col min="14" max="14" width="42" customWidth="1"/>
    <col min="15" max="15" width="20" customWidth="1"/>
    <col min="16" max="26" width="8.59765625" customWidth="1"/>
  </cols>
  <sheetData>
    <row r="1" spans="1:15" ht="27.75" customHeight="1">
      <c r="A1" s="1" t="s">
        <v>26</v>
      </c>
      <c r="B1" s="1" t="s">
        <v>27</v>
      </c>
      <c r="C1" s="1" t="s">
        <v>28</v>
      </c>
      <c r="D1" s="1" t="s">
        <v>29</v>
      </c>
      <c r="E1" s="1" t="s">
        <v>30</v>
      </c>
      <c r="F1" s="1" t="s">
        <v>24</v>
      </c>
      <c r="G1" s="1" t="s">
        <v>31</v>
      </c>
      <c r="H1" s="1" t="s">
        <v>32</v>
      </c>
      <c r="I1" s="1" t="s">
        <v>4</v>
      </c>
      <c r="J1" s="1" t="s">
        <v>33</v>
      </c>
      <c r="K1" s="1" t="s">
        <v>34</v>
      </c>
      <c r="L1" s="1" t="s">
        <v>35</v>
      </c>
      <c r="M1" s="1" t="s">
        <v>36</v>
      </c>
      <c r="N1" s="1" t="s">
        <v>37</v>
      </c>
      <c r="O1" s="1" t="s">
        <v>38</v>
      </c>
    </row>
    <row r="2" spans="1:15" ht="33.75" customHeight="1">
      <c r="A2" t="s">
        <v>88</v>
      </c>
      <c r="B2" s="4" t="s">
        <v>40</v>
      </c>
      <c r="C2" s="4" t="s">
        <v>41</v>
      </c>
      <c r="D2" s="4" t="s">
        <v>89</v>
      </c>
      <c r="E2" s="4" t="s">
        <v>90</v>
      </c>
      <c r="F2" s="4" t="s">
        <v>8</v>
      </c>
      <c r="G2" s="4" t="s">
        <v>11</v>
      </c>
      <c r="H2" s="4" t="s">
        <v>17</v>
      </c>
      <c r="I2" s="4" t="s">
        <v>7</v>
      </c>
      <c r="J2" s="10">
        <v>46204</v>
      </c>
      <c r="K2" s="10">
        <v>46205</v>
      </c>
      <c r="L2" s="5">
        <v>1</v>
      </c>
      <c r="M2" s="4" t="s">
        <v>39</v>
      </c>
      <c r="N2" s="4" t="s">
        <v>42</v>
      </c>
      <c r="O2" s="4" t="s">
        <v>91</v>
      </c>
    </row>
    <row r="3" spans="1:15" ht="33.75" customHeight="1">
      <c r="A3" s="4" t="s">
        <v>92</v>
      </c>
      <c r="B3" s="4" t="s">
        <v>40</v>
      </c>
      <c r="C3" s="4" t="s">
        <v>43</v>
      </c>
      <c r="D3" s="4" t="s">
        <v>93</v>
      </c>
      <c r="E3" s="4" t="s">
        <v>94</v>
      </c>
      <c r="F3" s="4" t="s">
        <v>8</v>
      </c>
      <c r="G3" s="4" t="s">
        <v>14</v>
      </c>
      <c r="H3" s="4" t="s">
        <v>17</v>
      </c>
      <c r="I3" s="4" t="s">
        <v>7</v>
      </c>
      <c r="J3" s="10">
        <v>46204</v>
      </c>
      <c r="K3" s="10">
        <v>46205</v>
      </c>
      <c r="L3" s="5">
        <v>1</v>
      </c>
      <c r="M3" t="s">
        <v>88</v>
      </c>
      <c r="N3" s="4" t="s">
        <v>44</v>
      </c>
      <c r="O3" s="4" t="s">
        <v>91</v>
      </c>
    </row>
    <row r="4" spans="1:15" ht="15.75" customHeight="1"/>
    <row r="5" spans="1:15" ht="15.75" customHeight="1"/>
    <row r="6" spans="1:15" ht="15.75" customHeight="1">
      <c r="J6" s="9"/>
    </row>
    <row r="7" spans="1:15" ht="15.75" customHeight="1"/>
    <row r="8" spans="1:15" ht="15.75" customHeight="1"/>
    <row r="9" spans="1:15" ht="15.75" customHeight="1"/>
    <row r="10" spans="1:15" ht="15.75" customHeight="1"/>
    <row r="11" spans="1:15" ht="15.75" customHeight="1"/>
    <row r="12" spans="1:15" ht="15.75" customHeight="1"/>
    <row r="13" spans="1:15" ht="15.75" customHeight="1"/>
    <row r="14" spans="1:15" ht="15.75" customHeight="1"/>
    <row r="15" spans="1:15" ht="15.75" customHeight="1"/>
    <row r="16" spans="1:15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</sheetData>
  <conditionalFormatting sqref="H2:H3">
    <cfRule type="expression" dxfId="5" priority="1">
      <formula>H2="P0"</formula>
    </cfRule>
    <cfRule type="expression" dxfId="4" priority="2">
      <formula>H2="P1"</formula>
    </cfRule>
    <cfRule type="expression" dxfId="3" priority="3">
      <formula>H2="P2"</formula>
    </cfRule>
  </conditionalFormatting>
  <conditionalFormatting sqref="I2:I3">
    <cfRule type="expression" dxfId="2" priority="4">
      <formula>I2="Done"</formula>
    </cfRule>
    <cfRule type="expression" dxfId="1" priority="5">
      <formula>I2="Blocked"</formula>
    </cfRule>
    <cfRule type="expression" dxfId="0" priority="6">
      <formula>I2="In Progress"</formula>
    </cfRule>
  </conditionalFormatting>
  <pageMargins left="0.7" right="0.7" top="0.75" bottom="0.75" header="0" footer="0"/>
  <pageSetup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100-000001000000}">
          <x14:formula1>
            <xm:f>Lists!$A$2:$A$4</xm:f>
          </x14:formula1>
          <xm:sqref>F2:F3</xm:sqref>
        </x14:dataValidation>
        <x14:dataValidation type="list" allowBlank="1" xr:uid="{00000000-0002-0000-0100-000000000000}">
          <x14:formula1>
            <xm:f>Lists!$D$2:$D$5</xm:f>
          </x14:formula1>
          <xm:sqref>B2:B3</xm:sqref>
        </x14:dataValidation>
        <x14:dataValidation type="list" allowBlank="1" xr:uid="{00000000-0002-0000-0100-000002000000}">
          <x14:formula1>
            <xm:f>Lists!$C$2:$C$4</xm:f>
          </x14:formula1>
          <xm:sqref>H2:H3</xm:sqref>
        </x14:dataValidation>
        <x14:dataValidation type="list" allowBlank="1" xr:uid="{00000000-0002-0000-0100-000003000000}">
          <x14:formula1>
            <xm:f>Lists!$B$2:$B$6</xm:f>
          </x14:formula1>
          <xm:sqref>I2:I3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00"/>
  <sheetViews>
    <sheetView workbookViewId="0"/>
  </sheetViews>
  <sheetFormatPr defaultColWidth="12.59765625" defaultRowHeight="15" customHeight="1"/>
  <cols>
    <col min="1" max="1" width="24" customWidth="1"/>
    <col min="2" max="2" width="18" customWidth="1"/>
    <col min="3" max="4" width="42" customWidth="1"/>
    <col min="5" max="5" width="24" customWidth="1"/>
    <col min="6" max="26" width="8.59765625" customWidth="1"/>
  </cols>
  <sheetData>
    <row r="1" spans="1:15" ht="39.75" customHeight="1">
      <c r="A1" s="1" t="s">
        <v>27</v>
      </c>
      <c r="B1" s="1" t="s">
        <v>48</v>
      </c>
      <c r="C1" s="1" t="s">
        <v>49</v>
      </c>
      <c r="D1" s="1" t="s">
        <v>50</v>
      </c>
      <c r="E1" s="1" t="s">
        <v>51</v>
      </c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9.75" customHeight="1">
      <c r="A2" s="3" t="s">
        <v>40</v>
      </c>
      <c r="B2" s="3" t="s">
        <v>52</v>
      </c>
      <c r="C2" s="3" t="s">
        <v>53</v>
      </c>
      <c r="D2" s="3" t="s">
        <v>54</v>
      </c>
      <c r="E2" s="3" t="s">
        <v>8</v>
      </c>
    </row>
    <row r="3" spans="1:15" ht="39.75" customHeight="1">
      <c r="A3" s="3" t="s">
        <v>45</v>
      </c>
      <c r="B3" s="3" t="s">
        <v>55</v>
      </c>
      <c r="C3" s="3" t="s">
        <v>56</v>
      </c>
      <c r="D3" s="3" t="s">
        <v>57</v>
      </c>
      <c r="E3" s="3" t="s">
        <v>58</v>
      </c>
    </row>
    <row r="4" spans="1:15" ht="39.75" customHeight="1">
      <c r="A4" s="3" t="s">
        <v>46</v>
      </c>
      <c r="B4" s="3" t="s">
        <v>59</v>
      </c>
      <c r="C4" s="3" t="s">
        <v>60</v>
      </c>
      <c r="D4" s="3" t="s">
        <v>61</v>
      </c>
      <c r="E4" s="3" t="s">
        <v>62</v>
      </c>
    </row>
    <row r="5" spans="1:15" ht="39.75" customHeight="1">
      <c r="A5" s="3" t="s">
        <v>47</v>
      </c>
      <c r="B5" s="3" t="s">
        <v>63</v>
      </c>
      <c r="C5" s="3" t="s">
        <v>64</v>
      </c>
      <c r="D5" s="3" t="s">
        <v>65</v>
      </c>
      <c r="E5" s="3" t="s">
        <v>58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1000"/>
  <sheetViews>
    <sheetView tabSelected="1" workbookViewId="0">
      <selection activeCell="C6" sqref="C6"/>
    </sheetView>
  </sheetViews>
  <sheetFormatPr defaultColWidth="12.59765625" defaultRowHeight="15" customHeight="1"/>
  <cols>
    <col min="1" max="1" width="10" customWidth="1"/>
    <col min="2" max="2" width="24" customWidth="1"/>
    <col min="3" max="3" width="38" customWidth="1"/>
    <col min="4" max="4" width="34" customWidth="1"/>
    <col min="5" max="5" width="42" customWidth="1"/>
    <col min="6" max="6" width="36.3984375" bestFit="1" customWidth="1"/>
    <col min="7" max="26" width="8.59765625" customWidth="1"/>
  </cols>
  <sheetData>
    <row r="1" spans="1:15" ht="45" customHeight="1">
      <c r="A1" s="1" t="s">
        <v>66</v>
      </c>
      <c r="B1" s="1" t="s">
        <v>67</v>
      </c>
      <c r="C1" s="1" t="s">
        <v>68</v>
      </c>
      <c r="D1" s="1" t="s">
        <v>69</v>
      </c>
      <c r="E1" s="1" t="s">
        <v>70</v>
      </c>
      <c r="F1" s="1" t="s">
        <v>3</v>
      </c>
      <c r="G1" s="1"/>
      <c r="H1" s="1"/>
      <c r="I1" s="1"/>
      <c r="J1" s="1"/>
      <c r="K1" s="1"/>
      <c r="L1" s="1"/>
      <c r="M1" s="1"/>
      <c r="N1" s="1"/>
      <c r="O1" s="1"/>
    </row>
    <row r="2" spans="1:15" ht="45" customHeight="1">
      <c r="A2" s="3" t="s">
        <v>8</v>
      </c>
      <c r="B2" s="3" t="s">
        <v>71</v>
      </c>
      <c r="C2" s="3" t="s">
        <v>72</v>
      </c>
      <c r="D2" s="3" t="s">
        <v>73</v>
      </c>
      <c r="E2" s="3" t="s">
        <v>74</v>
      </c>
      <c r="F2" s="3" t="s">
        <v>75</v>
      </c>
    </row>
    <row r="3" spans="1:15" ht="45" customHeight="1">
      <c r="A3" s="3" t="s">
        <v>11</v>
      </c>
      <c r="B3" s="3" t="s">
        <v>76</v>
      </c>
      <c r="C3" s="3" t="s">
        <v>77</v>
      </c>
      <c r="D3" s="3" t="s">
        <v>78</v>
      </c>
      <c r="E3" s="3" t="s">
        <v>79</v>
      </c>
      <c r="F3" s="3" t="s">
        <v>80</v>
      </c>
    </row>
    <row r="4" spans="1:15" ht="45" customHeight="1">
      <c r="A4" s="3" t="s">
        <v>14</v>
      </c>
      <c r="B4" s="3" t="s">
        <v>81</v>
      </c>
      <c r="C4" s="3" t="s">
        <v>82</v>
      </c>
      <c r="D4" s="3" t="s">
        <v>83</v>
      </c>
      <c r="E4" s="3" t="s">
        <v>84</v>
      </c>
      <c r="F4" s="3" t="s">
        <v>85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000"/>
  <sheetViews>
    <sheetView workbookViewId="0">
      <selection activeCell="D8" sqref="D8"/>
    </sheetView>
  </sheetViews>
  <sheetFormatPr defaultColWidth="12.59765625" defaultRowHeight="15" customHeight="1"/>
  <cols>
    <col min="1" max="3" width="20" customWidth="1"/>
    <col min="4" max="4" width="20.8984375" bestFit="1" customWidth="1"/>
    <col min="5" max="25" width="8.59765625" customWidth="1"/>
  </cols>
  <sheetData>
    <row r="1" spans="1:13" ht="13.8">
      <c r="A1" s="1" t="s">
        <v>86</v>
      </c>
      <c r="B1" s="1" t="s">
        <v>4</v>
      </c>
      <c r="C1" s="1" t="s">
        <v>32</v>
      </c>
      <c r="D1" s="1" t="s">
        <v>87</v>
      </c>
      <c r="E1" s="1"/>
      <c r="F1" s="1"/>
      <c r="G1" s="1"/>
      <c r="H1" s="1"/>
      <c r="I1" s="1"/>
      <c r="J1" s="1"/>
      <c r="K1" s="1"/>
      <c r="L1" s="1"/>
      <c r="M1" s="1"/>
    </row>
    <row r="2" spans="1:13" ht="13.8">
      <c r="A2" s="3" t="s">
        <v>8</v>
      </c>
      <c r="B2" s="3" t="s">
        <v>7</v>
      </c>
      <c r="C2" s="3" t="s">
        <v>17</v>
      </c>
      <c r="D2" s="3" t="s">
        <v>40</v>
      </c>
    </row>
    <row r="3" spans="1:13" ht="13.8">
      <c r="A3" s="3" t="s">
        <v>11</v>
      </c>
      <c r="B3" s="3" t="s">
        <v>10</v>
      </c>
      <c r="C3" s="3" t="s">
        <v>20</v>
      </c>
      <c r="D3" s="3" t="s">
        <v>45</v>
      </c>
    </row>
    <row r="4" spans="1:13" ht="13.8">
      <c r="A4" s="3" t="s">
        <v>14</v>
      </c>
      <c r="B4" s="3" t="s">
        <v>13</v>
      </c>
      <c r="C4" s="3" t="s">
        <v>22</v>
      </c>
      <c r="D4" s="3" t="s">
        <v>46</v>
      </c>
    </row>
    <row r="5" spans="1:13" ht="13.8">
      <c r="B5" s="3" t="s">
        <v>16</v>
      </c>
      <c r="D5" s="3" t="s">
        <v>47</v>
      </c>
    </row>
    <row r="6" spans="1:13" ht="13.8">
      <c r="B6" s="3" t="s">
        <v>19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Task_Phan_Cong</vt:lpstr>
      <vt:lpstr>Roadmap</vt:lpstr>
      <vt:lpstr>Phan_Chia_Module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Chí Thịnh Nguyễn</cp:lastModifiedBy>
  <dcterms:modified xsi:type="dcterms:W3CDTF">2026-07-15T13:47:16Z</dcterms:modified>
</cp:coreProperties>
</file>