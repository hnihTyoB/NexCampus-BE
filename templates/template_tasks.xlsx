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ask_Phan_Cong" sheetId="2" r:id="rId2"/>
    <sheet name="Roadmap" sheetId="3" r:id="rId3"/>
    <sheet name="Phan_Chia_Module" sheetId="4" r:id="rId4"/>
    <sheet name="Li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KẾ HOẠCH PHÂN CÔNG TASK - DỰ ÁN XXX</v>
      </c>
    </row>
    <row r="2">
      <c r="A2" t="str">
        <v>Team: 3 BE thực tập | Stack: Express + TypeScript + pnpm + PostgreSQL + Prisma Migrate + Firecrawl</v>
      </c>
    </row>
    <row r="4">
      <c r="A4" t="str">
        <v>Chỉ số</v>
      </c>
      <c r="B4" t="str">
        <v>Giá trị</v>
      </c>
      <c r="C4" t="str">
        <v>Ghi chú</v>
      </c>
      <c r="E4" t="str">
        <v>Status</v>
      </c>
      <c r="F4" t="str">
        <v>Số task</v>
      </c>
    </row>
    <row r="5">
      <c r="A5" t="str">
        <v>Tổng task</v>
      </c>
      <c r="B5">
        <f>COUNTA(Task_Phan_Cong!A2:A3)</f>
        <v>2</v>
      </c>
      <c r="E5" t="str">
        <v>To Do</v>
      </c>
      <c r="F5">
        <f>COUNTIF(Task_Phan_Cong!I2:I3,"To Do")</f>
        <v>2</v>
      </c>
    </row>
    <row r="6">
      <c r="A6" t="str">
        <v>BE 1</v>
      </c>
      <c r="B6">
        <f>COUNTIF(Task_Phan_Cong!F2:F3,"BE 1")</f>
        <v>2</v>
      </c>
      <c r="C6" t="str">
        <v>API/Auth/DB</v>
      </c>
      <c r="E6" t="str">
        <v>In Progress</v>
      </c>
      <c r="F6">
        <f>COUNTIF(Task_Phan_Cong!I2:I3,"In Progress")</f>
        <v>0</v>
      </c>
    </row>
    <row r="7">
      <c r="A7" t="str">
        <v>BE 2</v>
      </c>
      <c r="B7">
        <f>COUNTIF(Task_Phan_Cong!F2:F3,"BE 2")</f>
        <v>0</v>
      </c>
      <c r="C7" t="str">
        <v>Crawler/Worker/Firecrawl</v>
      </c>
      <c r="E7" t="str">
        <v>Review</v>
      </c>
      <c r="F7">
        <f>COUNTIF(Task_Phan_Cong!I2:I3,"Review")</f>
        <v>0</v>
      </c>
    </row>
    <row r="8">
      <c r="A8" t="str">
        <v>BE 3</v>
      </c>
      <c r="B8">
        <f>COUNTIF(Task_Phan_Cong!F2:F3,"BE 3")</f>
        <v>0</v>
      </c>
      <c r="C8" t="str">
        <v>Export/Download/Docs/QA</v>
      </c>
      <c r="E8" t="str">
        <v>Done</v>
      </c>
      <c r="F8">
        <f>COUNTIF(Task_Phan_Cong!I2:I3,"Done")</f>
        <v>0</v>
      </c>
    </row>
    <row r="9">
      <c r="A9" t="str">
        <v>P0</v>
      </c>
      <c r="B9">
        <f>COUNTIF(Task_Phan_Cong!H2:H3,"P0")</f>
        <v>2</v>
      </c>
      <c r="C9" t="str">
        <v>Bắt buộc MVP</v>
      </c>
      <c r="E9" t="str">
        <v>Blocked</v>
      </c>
      <c r="F9">
        <f>COUNTIF(Task_Phan_Cong!I2:I3,"Blocked")</f>
        <v>0</v>
      </c>
    </row>
    <row r="10">
      <c r="A10" t="str">
        <v>P1</v>
      </c>
      <c r="B10">
        <f>COUNTIF(Task_Phan_Cong!H2:H3,"P1")</f>
        <v>0</v>
      </c>
      <c r="C10" t="str">
        <v>Nên có</v>
      </c>
    </row>
    <row r="11">
      <c r="A11" t="str">
        <v>P2</v>
      </c>
      <c r="B11">
        <f>COUNTIF(Task_Phan_Cong!H2:H3,"P2")</f>
        <v>0</v>
      </c>
      <c r="C11" t="str">
        <v>Nâng cấp</v>
      </c>
    </row>
    <row r="14">
      <c r="A14" t="str">
        <v>Owner</v>
      </c>
      <c r="B14" t="str">
        <v>Số task</v>
      </c>
      <c r="C14" t="str">
        <v>Tổng ngày est</v>
      </c>
    </row>
    <row r="15">
      <c r="A15" t="str">
        <v>BE 1</v>
      </c>
      <c r="B15">
        <f>COUNTIF(Task_Phan_Cong!F2:F3,"BE 1")</f>
        <v>2</v>
      </c>
      <c r="C15">
        <f>SUMIF(Task_Phan_Cong!F2:F3,"BE 1",Task_Phan_Cong!L2:L3)</f>
        <v>2</v>
      </c>
    </row>
    <row r="16">
      <c r="A16" t="str">
        <v>BE 2</v>
      </c>
      <c r="B16">
        <f>COUNTIF(Task_Phan_Cong!F2:F3,"BE 2")</f>
        <v>0</v>
      </c>
      <c r="C16">
        <f>SUMIF(Task_Phan_Cong!F2:F3,"BE 2",Task_Phan_Cong!L2:L3)</f>
        <v>0</v>
      </c>
    </row>
    <row r="17">
      <c r="A17" t="str">
        <v>BE 3</v>
      </c>
      <c r="B17">
        <f>COUNTIF(Task_Phan_Cong!F2:F3,"BE 3")</f>
        <v>0</v>
      </c>
      <c r="C17">
        <f>SUMIF(Task_Phan_Cong!F2:F3,"BE 3",Task_Phan_Cong!L2:L3)</f>
        <v>0</v>
      </c>
    </row>
  </sheetData>
  <mergeCells count="2">
    <mergeCell ref="A1:H1"/>
    <mergeCell ref="A2:H2"/>
  </mergeCells>
  <pageMargins left="0.7" right="0.7" top="0.75" bottom="0.75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57"/>
  <sheetViews>
    <sheetView workbookViewId="0" rightToLeft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30.83203125" customWidth="1"/>
  </cols>
  <sheetData>
    <row r="1">
      <c r="A1" t="str">
        <v>Task ID</v>
      </c>
      <c r="B1" t="str">
        <v>Giai đoạn</v>
      </c>
      <c r="C1" t="str">
        <v>Module</v>
      </c>
      <c r="D1" t="str">
        <v>Task</v>
      </c>
      <c r="E1" t="str">
        <v>Mô tả</v>
      </c>
      <c r="F1" t="str">
        <v>Owner</v>
      </c>
      <c r="G1" t="str">
        <v>Support</v>
      </c>
      <c r="H1" t="str">
        <v>Priority</v>
      </c>
      <c r="I1" t="str">
        <v>Status</v>
      </c>
      <c r="J1" t="str">
        <v>Start</v>
      </c>
      <c r="K1" t="str">
        <v>Due</v>
      </c>
      <c r="L1" t="str">
        <v>Est Days</v>
      </c>
      <c r="M1" t="str">
        <v>Dependency</v>
      </c>
      <c r="N1" t="str">
        <v>Acceptance Criteria</v>
      </c>
      <c r="O1" t="str">
        <v>Notes</v>
      </c>
      <c r="P1" t="str">
        <v>Attachments</v>
      </c>
    </row>
    <row r="2">
      <c r="A2" t="str">
        <v>SAMPLE-01</v>
      </c>
      <c r="B2" t="str">
        <v>Phase 1 - Foundation</v>
      </c>
      <c r="C2" t="str">
        <v>Project Setup</v>
      </c>
      <c r="D2" t="str">
        <v>Khởi tạo source Express</v>
      </c>
      <c r="E2" t="str">
        <v>Cấu hình Express + TS</v>
      </c>
      <c r="F2" t="str">
        <v>BE 1</v>
      </c>
      <c r="G2" t="str">
        <v>BE 2</v>
      </c>
      <c r="H2" t="str">
        <v>P0</v>
      </c>
      <c r="I2" t="str">
        <v>To Do</v>
      </c>
      <c r="J2">
        <v>46204</v>
      </c>
      <c r="K2">
        <v>46205</v>
      </c>
      <c r="L2">
        <v>1</v>
      </c>
      <c r="M2" t="str">
        <v>BE1-01</v>
      </c>
      <c r="N2" t="str">
        <v>Source chạy được pnpm dev/build</v>
      </c>
      <c r="O2" t="str">
        <v>Ví dụ mẫu</v>
      </c>
    </row>
    <row r="3">
      <c r="A3" t="str">
        <v>SAMPLE-02</v>
      </c>
      <c r="B3" t="str">
        <v>Phase 1 - Foundation</v>
      </c>
      <c r="C3" t="str">
        <v>Database</v>
      </c>
      <c r="D3" t="str">
        <v>Cấu hình Prisma</v>
      </c>
      <c r="E3" t="str">
        <v>Tạo Prisma client kết nối DB</v>
      </c>
      <c r="F3" t="str">
        <v>BE 1</v>
      </c>
      <c r="G3" t="str">
        <v>BE 3</v>
      </c>
      <c r="H3" t="str">
        <v>P0</v>
      </c>
      <c r="I3" t="str">
        <v>To Do</v>
      </c>
      <c r="J3">
        <v>46204</v>
      </c>
      <c r="K3">
        <v>46205</v>
      </c>
      <c r="L3">
        <v>1</v>
      </c>
      <c r="M3" t="str">
        <v>SAMPLE-01</v>
      </c>
      <c r="N3" t="str">
        <v>Kết nối DB thành công</v>
      </c>
      <c r="O3" t="str">
        <v>Ví dụ mẫu</v>
      </c>
    </row>
  </sheetData>
  <ignoredErrors>
    <ignoredError numberStoredAsText="1" sqref="A1:P9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Giai đoạn</v>
      </c>
      <c r="B1" t="str">
        <v>Thời gian</v>
      </c>
      <c r="C1" t="str">
        <v>Mục tiêu</v>
      </c>
      <c r="D1" t="str">
        <v>Output chính</v>
      </c>
      <c r="E1" t="str">
        <v>Owner chính</v>
      </c>
    </row>
    <row r="2">
      <c r="A2" t="str">
        <v>Phase 1 - Foundation</v>
      </c>
      <c r="B2" t="str">
        <v>01/07 - 05/07</v>
      </c>
      <c r="C2" t="str">
        <v>Khởi tạo source, DB, migration, queue, storage</v>
      </c>
      <c r="D2" t="str">
        <v>Source chạy được, migrate được, Firecrawl client base</v>
      </c>
      <c r="E2" t="str">
        <v>BE 1</v>
      </c>
    </row>
    <row r="3">
      <c r="A3" t="str">
        <v>Phase 2 - API Core</v>
      </c>
      <c r="B3" t="str">
        <v>06/07 - 12/07</v>
      </c>
      <c r="C3" t="str">
        <v>Dựng API và worker crawl/export MVP</v>
      </c>
      <c r="D3" t="str">
        <v>Auth, Crawl Job API, Worker, JSON/CSV/ZIP download</v>
      </c>
      <c r="E3" t="str">
        <v>BE 1 + BE 2 + BE 3</v>
      </c>
    </row>
    <row r="4">
      <c r="A4" t="str">
        <v>Phase 3 - Enhancement</v>
      </c>
      <c r="B4" t="str">
        <v>13/07 - 19/07</v>
      </c>
      <c r="C4" t="str">
        <v>Bổ sung sitemap, url list, assets, Excel, quota</v>
      </c>
      <c r="D4" t="str">
        <v>Mode nâng cao, export xlsx, logs, testing</v>
      </c>
      <c r="E4" t="str">
        <v>BE 2 + BE 3</v>
      </c>
    </row>
    <row r="5">
      <c r="A5" t="str">
        <v>Phase 4 - Stabilization</v>
      </c>
      <c r="B5" t="str">
        <v>20/07 - 25/07</v>
      </c>
      <c r="C5" t="str">
        <v>Ổn định API, docs, test end-to-end</v>
      </c>
      <c r="D5" t="str">
        <v>README, Postman/Swagger, flow hoàn chỉnh</v>
      </c>
      <c r="E5" t="str">
        <v>BE 1 + BE 2 + BE 3</v>
      </c>
    </row>
  </sheetData>
  <pageMargins left="0.7" right="0.7" top="0.75" bottom="0.75" header="0" footer="0"/>
  <ignoredErrors>
    <ignoredError numberStoredAsText="1" sqref="A1:O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BE</v>
      </c>
      <c r="B1" t="str">
        <v>Vai trò chính</v>
      </c>
      <c r="C1" t="str">
        <v>Module phụ trách</v>
      </c>
      <c r="D1" t="str">
        <v>Task quan trọng</v>
      </c>
      <c r="E1" t="str">
        <v>Output cần bàn giao</v>
      </c>
      <c r="F1" t="str">
        <v>Ghi chú</v>
      </c>
    </row>
    <row r="2">
      <c r="A2" t="str">
        <v>BE 1</v>
      </c>
      <c r="B2" t="str">
        <v>API/Auth/Database Lead</v>
      </c>
      <c r="C2" t="str">
        <v>Project setup, Prisma migration, Auth/RBAC, Crawl Job API, User/Quota/Security</v>
      </c>
      <c r="D2" t="str">
        <v>BE1-01 → BE1-16</v>
      </c>
      <c r="E2" t="str">
        <v>API core chạy được, DB code-first, role/security ổn</v>
      </c>
      <c r="F2" t="str">
        <v>Ưu tiên code nền để BE 2/3 tích hợp</v>
      </c>
    </row>
    <row r="3">
      <c r="A3" t="str">
        <v>BE 2</v>
      </c>
      <c r="B3" t="str">
        <v>Crawler/Worker Lead</v>
      </c>
      <c r="C3" t="str">
        <v>BullMQ, Redis, Firecrawl, Worker, Page processing, Sitemap, Assets</v>
      </c>
      <c r="D3" t="str">
        <v>BE2-01 → BE2-14</v>
      </c>
      <c r="E3" t="str">
        <v>Crawl flow chạy được, lưu page/assets/status đúng</v>
      </c>
      <c r="F3" t="str">
        <v>Không bypass captcha/login/paywall</v>
      </c>
    </row>
    <row r="4">
      <c r="A4" t="str">
        <v>BE 3</v>
      </c>
      <c r="B4" t="str">
        <v>Export/Download/QA Lead</v>
      </c>
      <c r="C4" t="str">
        <v>Storage, Export JSON/CSV/XLSX/Markdown/ZIP, Download API, Docs, QA</v>
      </c>
      <c r="D4" t="str">
        <v>BE3-01 → BE3-15</v>
      </c>
      <c r="E4" t="str">
        <v>File export tải được, docs/test đầy đủ</v>
      </c>
      <c r="F4" t="str">
        <v>Phối hợp BE 1 để chuẩn hóa API response</v>
      </c>
    </row>
  </sheetData>
  <pageMargins left="0.7" right="0.7" top="0.75" bottom="0.75" header="0" footer="0"/>
  <ignoredErrors>
    <ignoredError numberStoredAsText="1" sqref="A1:O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0"/>
  <sheetViews>
    <sheetView workbookViewId="0" rightToLeft="0"/>
  </sheetViews>
  <sheetData>
    <row r="1">
      <c r="A1" t="str">
        <v>Owners</v>
      </c>
      <c r="B1" t="str">
        <v>Status</v>
      </c>
      <c r="C1" t="str">
        <v>Priority</v>
      </c>
      <c r="D1" t="str">
        <v>Phase</v>
      </c>
    </row>
    <row r="2">
      <c r="A2" t="str">
        <v>BE 1</v>
      </c>
      <c r="B2" t="str">
        <v>To Do</v>
      </c>
      <c r="C2" t="str">
        <v>P0</v>
      </c>
      <c r="D2" t="str">
        <v>Phase 1 - Foundation</v>
      </c>
    </row>
    <row r="3">
      <c r="A3" t="str">
        <v>BE 2</v>
      </c>
      <c r="B3" t="str">
        <v>In Progress</v>
      </c>
      <c r="C3" t="str">
        <v>P1</v>
      </c>
      <c r="D3" t="str">
        <v>Phase 2 - API Core</v>
      </c>
    </row>
    <row r="4">
      <c r="A4" t="str">
        <v>BE 3</v>
      </c>
      <c r="B4" t="str">
        <v>Review</v>
      </c>
      <c r="C4" t="str">
        <v>P2</v>
      </c>
      <c r="D4" t="str">
        <v>Phase 3 - Enhancement</v>
      </c>
    </row>
    <row r="5">
      <c r="B5" t="str">
        <v>Done</v>
      </c>
      <c r="D5" t="str">
        <v>Phase 4 - Stabilization</v>
      </c>
    </row>
    <row r="6">
      <c r="B6" t="str">
        <v>Blocked</v>
      </c>
    </row>
  </sheetData>
  <pageMargins left="0.7" right="0.7" top="0.75" bottom="0.75" header="0" footer="0"/>
  <ignoredErrors>
    <ignoredError numberStoredAsText="1" sqref="A1:M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Task_Phan_Cong</vt:lpstr>
      <vt:lpstr>Roadmap</vt:lpstr>
      <vt:lpstr>Phan_Chia_Module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2026-07-15T13:47:16Z</dcterms:modified>
  <cp:lastModifiedBy>Chí Thịnh Nguyễn</cp:lastModifiedBy>
</cp:coreProperties>
</file>