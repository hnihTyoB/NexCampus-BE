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NodeJS\NexCampus\NexCampus-BE\templates\"/>
    </mc:Choice>
  </mc:AlternateContent>
  <xr:revisionPtr revIDLastSave="0" documentId="13_ncr:1_{08CA1898-61C2-4989-A664-18FB74D5B83F}" xr6:coauthVersionLast="47" xr6:coauthVersionMax="47" xr10:uidLastSave="{00000000-0000-0000-0000-000000000000}"/>
  <bookViews>
    <workbookView xWindow="28680" yWindow="330" windowWidth="29040" windowHeight="15990" activeTab="4" xr2:uid="{00000000-000D-0000-FFFF-FFFF00000000}"/>
  </bookViews>
  <sheets>
    <sheet name="Dashboard" sheetId="1" r:id="rId1"/>
    <sheet name="Task_Phan_Cong" sheetId="2" r:id="rId2"/>
    <sheet name="Roadmap" sheetId="3" r:id="rId3"/>
    <sheet name="Phan_Chia_Module" sheetId="4" r:id="rId4"/>
    <sheet name="Lis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B17" i="1"/>
  <c r="C16" i="1"/>
  <c r="B16" i="1"/>
  <c r="C15" i="1"/>
  <c r="B15" i="1"/>
  <c r="B11" i="1"/>
  <c r="B10" i="1"/>
  <c r="F9" i="1"/>
  <c r="B9" i="1"/>
  <c r="F8" i="1"/>
  <c r="B8" i="1"/>
  <c r="F7" i="1"/>
  <c r="B7" i="1"/>
  <c r="F6" i="1"/>
  <c r="B6" i="1"/>
  <c r="F5" i="1"/>
  <c r="B5" i="1"/>
</calcChain>
</file>

<file path=xl/sharedStrings.xml><?xml version="1.0" encoding="utf-8"?>
<sst xmlns="http://schemas.openxmlformats.org/spreadsheetml/2006/main" count="140" uniqueCount="98">
  <si>
    <t>KẾ HOẠCH PHÂN CÔNG TASK - DỰ ÁN XXX</t>
  </si>
  <si>
    <t>Team: 3 BE thực tập | Stack: Express + TypeScript + pnpm + PostgreSQL + Prisma Migrate + Firecrawl</t>
  </si>
  <si>
    <t>Chỉ số</t>
  </si>
  <si>
    <t>Giá trị</t>
  </si>
  <si>
    <t>Ghi chú</t>
  </si>
  <si>
    <t>Status</t>
  </si>
  <si>
    <t>Số task</t>
  </si>
  <si>
    <t>Tổng task</t>
  </si>
  <si>
    <t>To Do</t>
  </si>
  <si>
    <t>BE 1</t>
  </si>
  <si>
    <t>API/Auth/DB</t>
  </si>
  <si>
    <t>In Progress</t>
  </si>
  <si>
    <t>BE 2</t>
  </si>
  <si>
    <t>Crawler/Worker/Firecrawl</t>
  </si>
  <si>
    <t>Review</t>
  </si>
  <si>
    <t>BE 3</t>
  </si>
  <si>
    <t>Export/Download/Docs/QA</t>
  </si>
  <si>
    <t>Done</t>
  </si>
  <si>
    <t>P0</t>
  </si>
  <si>
    <t>Bắt buộc MVP</t>
  </si>
  <si>
    <t>Blocked</t>
  </si>
  <si>
    <t>P1</t>
  </si>
  <si>
    <t>Nên có</t>
  </si>
  <si>
    <t>P2</t>
  </si>
  <si>
    <t>Nâng cấp</t>
  </si>
  <si>
    <t>Owner</t>
  </si>
  <si>
    <t>Tổng ngày est</t>
  </si>
  <si>
    <t>Task ID</t>
  </si>
  <si>
    <t>Giai đoạn</t>
  </si>
  <si>
    <t>Module</t>
  </si>
  <si>
    <t>Task</t>
  </si>
  <si>
    <t>Mô tả</t>
  </si>
  <si>
    <t>Support</t>
  </si>
  <si>
    <t>Priority</t>
  </si>
  <si>
    <t>Start</t>
  </si>
  <si>
    <t>Due</t>
  </si>
  <si>
    <t>Est Days</t>
  </si>
  <si>
    <t>Dependency</t>
  </si>
  <si>
    <t>Acceptance Criteria</t>
  </si>
  <si>
    <t>Notes</t>
  </si>
  <si>
    <t>Attachments</t>
  </si>
  <si>
    <t>SAMPLE-01</t>
  </si>
  <si>
    <t>Phase 1 - Foundation</t>
  </si>
  <si>
    <t>Project Setup</t>
  </si>
  <si>
    <t>Khởi tạo source Express</t>
  </si>
  <si>
    <t>Cấu hình Express + TS</t>
  </si>
  <si>
    <t>BE1-01</t>
  </si>
  <si>
    <t>Source chạy được pnpm dev/build</t>
  </si>
  <si>
    <t>Ví dụ mẫu</t>
  </si>
  <si>
    <t>SAMPLE-02</t>
  </si>
  <si>
    <t>Database</t>
  </si>
  <si>
    <t>Cấu hình Prisma</t>
  </si>
  <si>
    <t>Tạo Prisma client kết nối DB</t>
  </si>
  <si>
    <t>Kết nối DB thành công</t>
  </si>
  <si>
    <t>Thời gian</t>
  </si>
  <si>
    <t>Mục tiêu</t>
  </si>
  <si>
    <t>Output chính</t>
  </si>
  <si>
    <t>Owner chính</t>
  </si>
  <si>
    <t>01/07 - 05/07</t>
  </si>
  <si>
    <t>Khởi tạo source, DB, migration, queue, storage</t>
  </si>
  <si>
    <t>Source chạy được, migrate được, Firecrawl client base</t>
  </si>
  <si>
    <t>Phase 2 - API Core</t>
  </si>
  <si>
    <t>06/07 - 12/07</t>
  </si>
  <si>
    <t>Dựng API và worker crawl/export MVP</t>
  </si>
  <si>
    <t>Auth, Crawl Job API, Worker, JSON/CSV/ZIP download</t>
  </si>
  <si>
    <t>BE 1 + BE 2 + BE 3</t>
  </si>
  <si>
    <t>Phase 3 - Enhancement</t>
  </si>
  <si>
    <t>13/07 - 19/07</t>
  </si>
  <si>
    <t>Bổ sung sitemap, url list, assets, Excel, quota</t>
  </si>
  <si>
    <t>Mode nâng cao, export xlsx, logs, testing</t>
  </si>
  <si>
    <t>BE 2 + BE 3</t>
  </si>
  <si>
    <t>Phase 4 - Stabilization</t>
  </si>
  <si>
    <t>20/07 - 25/07</t>
  </si>
  <si>
    <t>Ổn định API, docs, test end-to-end</t>
  </si>
  <si>
    <t>README, Postman/Swagger, flow hoàn chỉnh</t>
  </si>
  <si>
    <t>BE</t>
  </si>
  <si>
    <t>Vai trò chính</t>
  </si>
  <si>
    <t>Module phụ trách</t>
  </si>
  <si>
    <t>Task quan trọng</t>
  </si>
  <si>
    <t>Output cần bàn giao</t>
  </si>
  <si>
    <t>API/Auth/Database Lead</t>
  </si>
  <si>
    <t>Project setup, Prisma migration, Auth/RBAC, Crawl Job API, User/Quota/Security</t>
  </si>
  <si>
    <t>BE1-01 → BE1-16</t>
  </si>
  <si>
    <t>API core chạy được, DB code-first, role/security ổn</t>
  </si>
  <si>
    <t>Ưu tiên code nền để BE 2/3 tích hợp</t>
  </si>
  <si>
    <t>Crawler/Worker Lead</t>
  </si>
  <si>
    <t>BullMQ, Redis, Firecrawl, Worker, Page processing, Sitemap, Assets</t>
  </si>
  <si>
    <t>BE2-01 → BE2-14</t>
  </si>
  <si>
    <t>Crawl flow chạy được, lưu page/assets/status đúng</t>
  </si>
  <si>
    <t>Không bypass captcha/login/paywall</t>
  </si>
  <si>
    <t>Export/Download/QA Lead</t>
  </si>
  <si>
    <t>Storage, Export JSON/CSV/XLSX/Markdown/ZIP, Download API, Docs, QA</t>
  </si>
  <si>
    <t>BE3-01 → BE3-15</t>
  </si>
  <si>
    <t>File export tải được, docs/test đầy đủ</t>
  </si>
  <si>
    <t>Phối hợp BE 1 để chuẩn hóa API response</t>
  </si>
  <si>
    <t>Owners</t>
  </si>
  <si>
    <t>Phase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</si>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</sst>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sqref="A1:H1"/>
    </sheetView>
  </sheetViews>
  <sheetFormatPr defaultRowHeight="15.6" x14ac:dyDescent="0.3"/>
  <sheetData>
    <row r="1" spans="1:8" x14ac:dyDescent="0.3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3">
      <c r="A2" s="1" t="s">
        <v>1</v>
      </c>
      <c r="B2" s="1"/>
      <c r="C2" s="1"/>
      <c r="D2" s="1"/>
      <c r="E2" s="1"/>
      <c r="F2" s="1"/>
      <c r="G2" s="1"/>
      <c r="H2" s="1"/>
    </row>
    <row r="4" spans="1:8" x14ac:dyDescent="0.3">
      <c r="A4" t="s">
        <v>2</v>
      </c>
      <c r="B4" t="s">
        <v>3</v>
      </c>
      <c r="C4" t="s">
        <v>4</v>
      </c>
      <c r="E4" t="s">
        <v>5</v>
      </c>
      <c r="F4" t="s">
        <v>6</v>
      </c>
    </row>
    <row r="5" spans="1:8" x14ac:dyDescent="0.3">
      <c r="A5" t="s">
        <v>7</v>
      </c>
      <c r="B5">
        <f>COUNTA(Task_Phan_Cong!A2:A3)</f>
        <v>2</v>
      </c>
      <c r="E5" t="s">
        <v>8</v>
      </c>
      <c r="F5">
        <f>COUNTIF(Task_Phan_Cong!I2:I3,"To Do")</f>
        <v>2</v>
      </c>
    </row>
    <row r="6" spans="1:8" x14ac:dyDescent="0.3">
      <c r="A6" t="s">
        <v>9</v>
      </c>
      <c r="B6">
        <f>COUNTIF(Task_Phan_Cong!F2:F3,"BE 1")</f>
        <v>2</v>
      </c>
      <c r="C6" t="s">
        <v>10</v>
      </c>
      <c r="E6" t="s">
        <v>11</v>
      </c>
      <c r="F6">
        <f>COUNTIF(Task_Phan_Cong!I2:I3,"In Progress")</f>
        <v>0</v>
      </c>
    </row>
    <row r="7" spans="1:8" x14ac:dyDescent="0.3">
      <c r="A7" t="s">
        <v>12</v>
      </c>
      <c r="B7">
        <f>COUNTIF(Task_Phan_Cong!F2:F3,"BE 2")</f>
        <v>0</v>
      </c>
      <c r="C7" t="s">
        <v>13</v>
      </c>
      <c r="E7" t="s">
        <v>14</v>
      </c>
      <c r="F7">
        <f>COUNTIF(Task_Phan_Cong!I2:I3,"Review")</f>
        <v>0</v>
      </c>
    </row>
    <row r="8" spans="1:8" x14ac:dyDescent="0.3">
      <c r="A8" t="s">
        <v>15</v>
      </c>
      <c r="B8">
        <f>COUNTIF(Task_Phan_Cong!F2:F3,"BE 3")</f>
        <v>0</v>
      </c>
      <c r="C8" t="s">
        <v>16</v>
      </c>
      <c r="E8" t="s">
        <v>17</v>
      </c>
      <c r="F8">
        <f>COUNTIF(Task_Phan_Cong!I2:I3,"Done")</f>
        <v>0</v>
      </c>
    </row>
    <row r="9" spans="1:8" x14ac:dyDescent="0.3">
      <c r="A9" t="s">
        <v>18</v>
      </c>
      <c r="B9">
        <f>COUNTIF(Task_Phan_Cong!H2:H3,"P0")</f>
        <v>2</v>
      </c>
      <c r="C9" t="s">
        <v>19</v>
      </c>
      <c r="E9" t="s">
        <v>20</v>
      </c>
      <c r="F9">
        <f>COUNTIF(Task_Phan_Cong!I2:I3,"Blocked")</f>
        <v>0</v>
      </c>
    </row>
    <row r="10" spans="1:8" x14ac:dyDescent="0.3">
      <c r="A10" t="s">
        <v>21</v>
      </c>
      <c r="B10">
        <f>COUNTIF(Task_Phan_Cong!H2:H3,"P1")</f>
        <v>0</v>
      </c>
      <c r="C10" t="s">
        <v>22</v>
      </c>
    </row>
    <row r="11" spans="1:8" x14ac:dyDescent="0.3">
      <c r="A11" t="s">
        <v>23</v>
      </c>
      <c r="B11">
        <f>COUNTIF(Task_Phan_Cong!H2:H3,"P2")</f>
        <v>0</v>
      </c>
      <c r="C11" t="s">
        <v>24</v>
      </c>
    </row>
    <row r="14" spans="1:8" x14ac:dyDescent="0.3">
      <c r="A14" t="s">
        <v>25</v>
      </c>
      <c r="B14" t="s">
        <v>6</v>
      </c>
      <c r="C14" t="s">
        <v>26</v>
      </c>
    </row>
    <row r="15" spans="1:8" x14ac:dyDescent="0.3">
      <c r="A15" t="s">
        <v>9</v>
      </c>
      <c r="B15">
        <f>COUNTIF(Task_Phan_Cong!F2:F3,"BE 1")</f>
        <v>2</v>
      </c>
      <c r="C15">
        <f>SUMIF(Task_Phan_Cong!F2:F3,"BE 1",Task_Phan_Cong!L2:L3)</f>
        <v>2</v>
      </c>
    </row>
    <row r="16" spans="1:8" x14ac:dyDescent="0.3">
      <c r="A16" t="s">
        <v>12</v>
      </c>
      <c r="B16">
        <f>COUNTIF(Task_Phan_Cong!F2:F3,"BE 2")</f>
        <v>0</v>
      </c>
      <c r="C16">
        <f>SUMIF(Task_Phan_Cong!F2:F3,"BE 2",Task_Phan_Cong!L2:L3)</f>
        <v>0</v>
      </c>
    </row>
    <row r="17" spans="1:3" x14ac:dyDescent="0.3">
      <c r="A17" t="s">
        <v>15</v>
      </c>
      <c r="B17">
        <f>COUNTIF(Task_Phan_Cong!F2:F3,"BE 3")</f>
        <v>0</v>
      </c>
      <c r="C17">
        <f>SUMIF(Task_Phan_Cong!F2:F3,"BE 3",Task_Phan_Cong!L2:L3)</f>
        <v>0</v>
      </c>
    </row>
  </sheetData>
  <mergeCells count="2">
    <mergeCell ref="A1:H1"/>
    <mergeCell ref="A2:H2"/>
  </mergeCells>
  <pageMargins left="0.7" right="0.7" top="0.75" bottom="0.75" header="0" footer="0"/>
  <ignoredErrors>
    <ignoredError sqref="A1:O100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"/>
  <sheetViews>
    <sheetView workbookViewId="0"/>
  </sheetViews>
  <sheetFormatPr defaultRowHeight="15.6" x14ac:dyDescent="0.3"/>
  <cols>
    <col min="1" max="15" width="20.796875" customWidth="1"/>
    <col min="16" max="16" width="30.796875" customWidth="1"/>
  </cols>
  <sheetData>
    <row r="1" spans="1:16" x14ac:dyDescent="0.3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25</v>
      </c>
      <c r="G1" t="s">
        <v>32</v>
      </c>
      <c r="H1" t="s">
        <v>33</v>
      </c>
      <c r="I1" t="s">
        <v>5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</row>
    <row r="2" spans="1:16" x14ac:dyDescent="0.3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9</v>
      </c>
      <c r="G2" t="s">
        <v>12</v>
      </c>
      <c r="H2" t="s">
        <v>18</v>
      </c>
      <c r="I2" t="s">
        <v>8</v>
      </c>
      <c r="J2">
        <v>46204</v>
      </c>
      <c r="K2">
        <v>46205</v>
      </c>
      <c r="L2">
        <v>1</v>
      </c>
      <c r="M2" t="s">
        <v>46</v>
      </c>
      <c r="N2" t="s">
        <v>47</v>
      </c>
      <c r="O2" t="s">
        <v>48</v>
      </c>
    </row>
    <row r="3" spans="1:16" x14ac:dyDescent="0.3">
      <c r="A3" t="s">
        <v>49</v>
      </c>
      <c r="B3" t="s">
        <v>42</v>
      </c>
      <c r="C3" t="s">
        <v>50</v>
      </c>
      <c r="D3" t="s">
        <v>51</v>
      </c>
      <c r="E3" t="s">
        <v>52</v>
      </c>
      <c r="F3" t="s">
        <v>9</v>
      </c>
      <c r="G3" t="s">
        <v>15</v>
      </c>
      <c r="H3" t="s">
        <v>18</v>
      </c>
      <c r="I3" t="s">
        <v>8</v>
      </c>
      <c r="J3">
        <v>46204</v>
      </c>
      <c r="K3">
        <v>46205</v>
      </c>
      <c r="L3">
        <v>1</v>
      </c>
      <c r="M3" t="s">
        <v>41</v>
      </c>
      <c r="N3" t="s">
        <v>53</v>
      </c>
      <c r="O3" t="s">
        <v>48</v>
      </c>
    </row>
  </sheetData>
  <pageMargins left="0.7" right="0.7" top="0.75" bottom="0.75" header="0.3" footer="0.3"/>
  <ignoredErrors>
    <ignoredError sqref="A1:P95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/>
  </sheetViews>
  <sheetFormatPr defaultRowHeight="15.6" x14ac:dyDescent="0.3"/>
  <sheetData>
    <row r="1" spans="1:5" x14ac:dyDescent="0.3">
      <c r="A1" t="s">
        <v>28</v>
      </c>
      <c r="B1" t="s">
        <v>54</v>
      </c>
      <c r="C1" t="s">
        <v>55</v>
      </c>
      <c r="D1" t="s">
        <v>56</v>
      </c>
      <c r="E1" t="s">
        <v>57</v>
      </c>
    </row>
    <row r="2" spans="1:5" x14ac:dyDescent="0.3">
      <c r="A2" t="s">
        <v>42</v>
      </c>
      <c r="B2" t="s">
        <v>58</v>
      </c>
      <c r="C2" t="s">
        <v>59</v>
      </c>
      <c r="D2" t="s">
        <v>60</v>
      </c>
      <c r="E2" t="s">
        <v>9</v>
      </c>
    </row>
    <row r="3" spans="1:5" x14ac:dyDescent="0.3">
      <c r="A3" t="s">
        <v>61</v>
      </c>
      <c r="B3" t="s">
        <v>62</v>
      </c>
      <c r="C3" t="s">
        <v>63</v>
      </c>
      <c r="D3" t="s">
        <v>64</v>
      </c>
      <c r="E3" t="s">
        <v>65</v>
      </c>
    </row>
    <row r="4" spans="1:5" x14ac:dyDescent="0.3">
      <c r="A4" t="s">
        <v>66</v>
      </c>
      <c r="B4" t="s">
        <v>67</v>
      </c>
      <c r="C4" t="s">
        <v>68</v>
      </c>
      <c r="D4" t="s">
        <v>69</v>
      </c>
      <c r="E4" t="s">
        <v>70</v>
      </c>
    </row>
    <row r="5" spans="1:5" x14ac:dyDescent="0.3">
      <c r="A5" t="s">
        <v>71</v>
      </c>
      <c r="B5" t="s">
        <v>72</v>
      </c>
      <c r="C5" t="s">
        <v>73</v>
      </c>
      <c r="D5" t="s">
        <v>74</v>
      </c>
      <c r="E5" t="s">
        <v>65</v>
      </c>
    </row>
  </sheetData>
  <pageMargins left="0.7" right="0.7" top="0.75" bottom="0.75" header="0" footer="0"/>
  <ignoredErrors>
    <ignoredError sqref="A1:O100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workbookViewId="0"/>
  </sheetViews>
  <sheetFormatPr defaultRowHeight="15.6" x14ac:dyDescent="0.3"/>
  <sheetData>
    <row r="1" spans="1:6" x14ac:dyDescent="0.3">
      <c r="A1" t="s">
        <v>75</v>
      </c>
      <c r="B1" t="s">
        <v>76</v>
      </c>
      <c r="C1" t="s">
        <v>77</v>
      </c>
      <c r="D1" t="s">
        <v>78</v>
      </c>
      <c r="E1" t="s">
        <v>79</v>
      </c>
      <c r="F1" t="s">
        <v>4</v>
      </c>
    </row>
    <row r="2" spans="1:6" x14ac:dyDescent="0.3">
      <c r="A2" t="s">
        <v>9</v>
      </c>
      <c r="B2" t="s">
        <v>80</v>
      </c>
      <c r="C2" t="s">
        <v>81</v>
      </c>
      <c r="D2" t="s">
        <v>82</v>
      </c>
      <c r="E2" t="s">
        <v>83</v>
      </c>
      <c r="F2" t="s">
        <v>84</v>
      </c>
    </row>
    <row r="3" spans="1:6" x14ac:dyDescent="0.3">
      <c r="A3" t="s">
        <v>12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</row>
    <row r="4" spans="1:6" x14ac:dyDescent="0.3">
      <c r="A4" t="s">
        <v>15</v>
      </c>
      <c r="B4" t="s">
        <v>90</v>
      </c>
      <c r="C4" t="s">
        <v>91</v>
      </c>
      <c r="D4" t="s">
        <v>92</v>
      </c>
      <c r="E4" t="s">
        <v>93</v>
      </c>
      <c r="F4" t="s">
        <v>94</v>
      </c>
    </row>
  </sheetData>
  <pageMargins left="0.7" right="0.7" top="0.75" bottom="0.75" header="0" footer="0"/>
  <ignoredErrors>
    <ignoredError sqref="A1:O100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tabSelected="1" workbookViewId="0">
      <selection activeCell="B1" sqref="B1"/>
    </sheetView>
  </sheetViews>
  <sheetFormatPr defaultRowHeight="15.6" x14ac:dyDescent="0.3"/>
  <sheetData>
    <row r="1" spans="1:5" x14ac:dyDescent="0.3">
      <c r="A1" t="s">
        <v>95</v>
      </c>
      <c r="B1" t="s">
        <v>97</v>
      </c>
      <c r="C1" t="s">
        <v>5</v>
      </c>
      <c r="D1" t="s">
        <v>33</v>
      </c>
      <c r="E1" t="s">
        <v>96</v>
      </c>
    </row>
    <row r="2" spans="1:5" x14ac:dyDescent="0.3">
      <c r="A2" t="s">
        <v>9</v>
      </c>
      <c r="C2" t="s">
        <v>8</v>
      </c>
      <c r="D2" t="s">
        <v>18</v>
      </c>
      <c r="E2" t="s">
        <v>42</v>
      </c>
    </row>
    <row r="3" spans="1:5" x14ac:dyDescent="0.3">
      <c r="A3" t="s">
        <v>12</v>
      </c>
      <c r="C3" t="s">
        <v>11</v>
      </c>
      <c r="D3" t="s">
        <v>21</v>
      </c>
      <c r="E3" t="s">
        <v>61</v>
      </c>
    </row>
    <row r="4" spans="1:5" x14ac:dyDescent="0.3">
      <c r="A4" t="s">
        <v>15</v>
      </c>
      <c r="C4" t="s">
        <v>14</v>
      </c>
      <c r="D4" t="s">
        <v>23</v>
      </c>
      <c r="E4" t="s">
        <v>66</v>
      </c>
    </row>
    <row r="5" spans="1:5" x14ac:dyDescent="0.3">
      <c r="C5" t="s">
        <v>17</v>
      </c>
      <c r="E5" t="s">
        <v>71</v>
      </c>
    </row>
    <row r="6" spans="1:5" x14ac:dyDescent="0.3">
      <c r="C6" t="s">
        <v>20</v>
      </c>
    </row>
  </sheetData>
  <pageMargins left="0.7" right="0.7" top="0.75" bottom="0.75" header="0" footer="0"/>
  <ignoredErrors>
    <ignoredError sqref="C1:N1000 A1:A100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Task_Phan_Cong</vt:lpstr>
      <vt:lpstr>Roadmap</vt:lpstr>
      <vt:lpstr>Phan_Chia_Module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Chí Thịnh Nguyễn</cp:lastModifiedBy>
  <dcterms:modified xsi:type="dcterms:W3CDTF">2026-07-25T17:50:24Z</dcterms:modified>
</cp:coreProperties>
</file>